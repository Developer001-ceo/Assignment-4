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ink/ink1.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autoCompressPictures="0"/>
  <mc:AlternateContent xmlns:mc="http://schemas.openxmlformats.org/markup-compatibility/2006">
    <mc:Choice Requires="x15">
      <x15ac:absPath xmlns:x15ac="http://schemas.microsoft.com/office/spreadsheetml/2010/11/ac" url="C:\Users\prasa\Videos\"/>
    </mc:Choice>
  </mc:AlternateContent>
  <xr:revisionPtr revIDLastSave="0" documentId="13_ncr:1_{8F38B12E-6240-47D1-9D43-6521B2643DD8}" xr6:coauthVersionLast="47" xr6:coauthVersionMax="47" xr10:uidLastSave="{00000000-0000-0000-0000-000000000000}"/>
  <bookViews>
    <workbookView xWindow="-110" yWindow="-110" windowWidth="25820" windowHeight="15500" activeTab="1" xr2:uid="{00000000-000D-0000-FFFF-FFFF00000000}"/>
  </bookViews>
  <sheets>
    <sheet name="Lab1" sheetId="2" r:id="rId1"/>
    <sheet name="Lab2" sheetId="5" r:id="rId2"/>
    <sheet name="SustainabilityData-10%sample"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G19" i="5" l="1"/>
  <c r="B22" i="5"/>
  <c r="E25" i="2"/>
  <c r="E117" i="2"/>
  <c r="I115" i="8"/>
  <c r="G56" i="2"/>
  <c r="E56" i="2"/>
  <c r="C127" i="2"/>
  <c r="C126" i="2"/>
  <c r="C125" i="2"/>
  <c r="E129" i="5"/>
  <c r="F129" i="5"/>
  <c r="G129" i="5"/>
  <c r="H129" i="5"/>
  <c r="I129" i="5"/>
  <c r="J129" i="5"/>
  <c r="K129" i="5"/>
  <c r="L129" i="5"/>
  <c r="M129" i="5"/>
  <c r="N129" i="5"/>
  <c r="O129" i="5"/>
  <c r="P129" i="5"/>
  <c r="Q129" i="5"/>
  <c r="R129" i="5"/>
  <c r="S129" i="5"/>
  <c r="T129" i="5"/>
  <c r="U129" i="5"/>
  <c r="V129" i="5"/>
  <c r="W129" i="5"/>
  <c r="X129" i="5"/>
  <c r="Y129" i="5"/>
  <c r="Z129" i="5"/>
  <c r="AA129" i="5"/>
  <c r="AB129" i="5"/>
  <c r="AC129" i="5"/>
  <c r="AD129" i="5"/>
  <c r="AE129" i="5"/>
  <c r="AF129" i="5"/>
  <c r="AG129" i="5"/>
  <c r="AH129" i="5"/>
  <c r="AI129" i="5"/>
  <c r="AJ129" i="5"/>
  <c r="AK129" i="5"/>
  <c r="AL129" i="5"/>
  <c r="AM129" i="5"/>
  <c r="AN129" i="5"/>
  <c r="AO129" i="5"/>
  <c r="AP129" i="5"/>
  <c r="AQ129" i="5"/>
  <c r="AR129" i="5"/>
  <c r="AS129" i="5"/>
  <c r="AT129" i="5"/>
  <c r="AU129" i="5"/>
  <c r="AV129" i="5"/>
  <c r="AW129" i="5"/>
  <c r="AX129" i="5"/>
  <c r="AY129" i="5"/>
  <c r="AZ129" i="5"/>
  <c r="BA129" i="5"/>
  <c r="BB129" i="5"/>
  <c r="E131" i="5"/>
  <c r="F131" i="5"/>
  <c r="G131" i="5"/>
  <c r="H131" i="5"/>
  <c r="I131" i="5"/>
  <c r="J131" i="5"/>
  <c r="K131" i="5"/>
  <c r="L131" i="5"/>
  <c r="M131" i="5"/>
  <c r="N131" i="5"/>
  <c r="O131" i="5"/>
  <c r="P131" i="5"/>
  <c r="Q131" i="5"/>
  <c r="R131" i="5"/>
  <c r="S131" i="5"/>
  <c r="T131" i="5"/>
  <c r="U131" i="5"/>
  <c r="V131" i="5"/>
  <c r="W131" i="5"/>
  <c r="X131" i="5"/>
  <c r="Y131" i="5"/>
  <c r="Z131" i="5"/>
  <c r="AA131" i="5"/>
  <c r="AB131" i="5"/>
  <c r="AC131" i="5"/>
  <c r="AD131" i="5"/>
  <c r="AE131" i="5"/>
  <c r="AF131" i="5"/>
  <c r="AG131" i="5"/>
  <c r="AH131" i="5"/>
  <c r="AI131" i="5"/>
  <c r="AJ131" i="5"/>
  <c r="AK131" i="5"/>
  <c r="AL131" i="5"/>
  <c r="AM131" i="5"/>
  <c r="AN131" i="5"/>
  <c r="AO131" i="5"/>
  <c r="AP131" i="5"/>
  <c r="AQ131" i="5"/>
  <c r="AR131" i="5"/>
  <c r="AS131" i="5"/>
  <c r="AT131" i="5"/>
  <c r="AU131" i="5"/>
  <c r="AV131" i="5"/>
  <c r="AW131" i="5"/>
  <c r="AX131" i="5"/>
  <c r="AY131" i="5"/>
  <c r="AZ131" i="5"/>
  <c r="BA131" i="5"/>
  <c r="BB131" i="5"/>
  <c r="H42" i="5"/>
  <c r="G42" i="5"/>
  <c r="F42" i="5"/>
  <c r="H41" i="5"/>
  <c r="G41" i="5"/>
  <c r="F41" i="5"/>
  <c r="H40" i="5"/>
  <c r="G40" i="5"/>
  <c r="F40" i="5"/>
  <c r="H39" i="5"/>
  <c r="G39" i="5"/>
  <c r="F39" i="5"/>
  <c r="H38" i="5"/>
  <c r="G38" i="5"/>
  <c r="F38" i="5"/>
  <c r="D38" i="5"/>
  <c r="E38" i="5"/>
  <c r="E42" i="5"/>
  <c r="D42" i="5"/>
  <c r="C42" i="5"/>
  <c r="E41" i="5"/>
  <c r="D41" i="5"/>
  <c r="C41" i="5"/>
  <c r="E40" i="5"/>
  <c r="D40" i="5"/>
  <c r="C40" i="5"/>
  <c r="E39" i="5"/>
  <c r="D39" i="5"/>
  <c r="C39" i="5"/>
  <c r="H53" i="2"/>
  <c r="C38" i="5"/>
  <c r="B19" i="5"/>
  <c r="C19" i="5"/>
  <c r="J115" i="8"/>
  <c r="H115" i="8"/>
  <c r="J114" i="8"/>
  <c r="I114" i="8"/>
  <c r="H114" i="8"/>
  <c r="E112" i="8"/>
  <c r="E111" i="8"/>
  <c r="E110" i="8"/>
  <c r="C117" i="8"/>
  <c r="D5" i="8"/>
  <c r="D88" i="8"/>
  <c r="D56" i="8"/>
  <c r="D7" i="8"/>
  <c r="D77" i="8"/>
  <c r="D87" i="8"/>
  <c r="D55" i="8"/>
  <c r="D6" i="8"/>
  <c r="D76" i="8"/>
  <c r="D74" i="8"/>
  <c r="D105" i="8"/>
  <c r="D15" i="8"/>
  <c r="D30" i="8"/>
  <c r="D58" i="8"/>
  <c r="D12" i="8"/>
  <c r="D61" i="8"/>
  <c r="D63" i="8"/>
  <c r="D79" i="8"/>
  <c r="D85" i="8"/>
  <c r="D102" i="8"/>
  <c r="D70" i="8"/>
  <c r="D90" i="8"/>
  <c r="D21" i="8"/>
  <c r="D40" i="8"/>
  <c r="D108" i="8"/>
  <c r="D17" i="8"/>
  <c r="D31" i="8"/>
  <c r="D34" i="8"/>
  <c r="D46" i="8"/>
  <c r="D103" i="8"/>
  <c r="D92" i="8"/>
  <c r="D14" i="8"/>
  <c r="D49" i="8"/>
  <c r="D75" i="8"/>
  <c r="D82" i="8"/>
  <c r="D22" i="8"/>
  <c r="D84" i="8"/>
  <c r="D9" i="8"/>
  <c r="D117" i="8" s="1"/>
  <c r="D43" i="8"/>
  <c r="D20" i="8"/>
  <c r="D100" i="8"/>
  <c r="D44" i="8"/>
  <c r="D89" i="8"/>
  <c r="D94" i="8"/>
  <c r="D98" i="8"/>
  <c r="D13" i="8"/>
  <c r="D104" i="8"/>
  <c r="D36" i="8"/>
  <c r="D73" i="8"/>
  <c r="D107" i="8"/>
  <c r="D18" i="8"/>
  <c r="D39" i="8"/>
  <c r="D51" i="8"/>
  <c r="D33" i="8"/>
  <c r="D42" i="8"/>
  <c r="D59" i="8"/>
  <c r="D16" i="8"/>
  <c r="D78" i="8"/>
  <c r="D62" i="8"/>
  <c r="D54" i="8"/>
  <c r="D83" i="8"/>
  <c r="D67" i="8"/>
  <c r="D8" i="8"/>
  <c r="D29" i="8"/>
  <c r="D11" i="8"/>
  <c r="D97" i="8"/>
  <c r="D19" i="8"/>
  <c r="D71" i="8"/>
  <c r="D50" i="8"/>
  <c r="D86" i="8"/>
  <c r="D65" i="8"/>
  <c r="D69" i="8"/>
  <c r="D53" i="8"/>
  <c r="D26" i="8"/>
  <c r="D48" i="8"/>
  <c r="D64" i="8"/>
  <c r="D68" i="8"/>
  <c r="D47" i="8"/>
  <c r="D93" i="8"/>
  <c r="D60" i="8"/>
  <c r="D35" i="8"/>
  <c r="D101" i="8"/>
  <c r="D57" i="8"/>
  <c r="D38" i="8"/>
  <c r="D72" i="8"/>
  <c r="D96" i="8"/>
  <c r="D24" i="8"/>
  <c r="D23" i="8"/>
  <c r="D95" i="8"/>
  <c r="D25" i="8"/>
  <c r="D32" i="8"/>
  <c r="D99" i="8"/>
  <c r="D80" i="8"/>
  <c r="D27" i="8"/>
  <c r="D66" i="8"/>
  <c r="D81" i="8"/>
  <c r="D28" i="8"/>
  <c r="D52" i="8"/>
  <c r="D91" i="8"/>
  <c r="D41" i="8"/>
  <c r="D45" i="8"/>
  <c r="D37" i="8"/>
  <c r="D10" i="8"/>
  <c r="D106" i="8"/>
  <c r="H59" i="2"/>
  <c r="H52" i="2"/>
  <c r="H55" i="2" s="1"/>
  <c r="E52" i="2"/>
  <c r="E59" i="2" s="1"/>
  <c r="G51" i="2"/>
  <c r="E21" i="2"/>
  <c r="D131" i="5"/>
  <c r="C131" i="5"/>
  <c r="B131" i="5"/>
  <c r="B129" i="5"/>
  <c r="C43" i="5" l="1"/>
  <c r="H56" i="2"/>
  <c r="H61" i="2"/>
  <c r="H60" i="2"/>
  <c r="G52" i="2"/>
  <c r="E55" i="2"/>
  <c r="C16" i="5"/>
  <c r="C17" i="5"/>
  <c r="C20" i="5"/>
  <c r="B16" i="5"/>
  <c r="D129" i="5"/>
  <c r="C129" i="5"/>
  <c r="E60" i="2" l="1"/>
  <c r="E61" i="2"/>
  <c r="G59" i="2"/>
  <c r="G55" i="2"/>
  <c r="C18" i="5"/>
  <c r="C21" i="5"/>
  <c r="C22" i="5" s="1"/>
  <c r="E20" i="2"/>
  <c r="G60" i="2" l="1"/>
  <c r="G61" i="2"/>
  <c r="E29" i="2"/>
  <c r="E24" i="2"/>
  <c r="B17" i="5"/>
  <c r="D118" i="2"/>
  <c r="C118" i="2"/>
  <c r="B118" i="2"/>
  <c r="E30" i="2" l="1"/>
  <c r="E31" i="2"/>
  <c r="E118" i="2"/>
  <c r="B21" i="5"/>
  <c r="F21" i="5" l="1"/>
  <c r="AI110" i="8" l="1"/>
  <c r="U88" i="8"/>
  <c r="U56" i="8"/>
  <c r="U7" i="8"/>
  <c r="U77" i="8"/>
  <c r="E43" i="5" l="1"/>
  <c r="U106" i="8" l="1"/>
  <c r="U10" i="8"/>
  <c r="U37" i="8"/>
  <c r="U45" i="8"/>
  <c r="U41" i="8"/>
  <c r="U91" i="8"/>
  <c r="U52" i="8"/>
  <c r="U28" i="8"/>
  <c r="U81" i="8"/>
  <c r="U66" i="8"/>
  <c r="U27" i="8"/>
  <c r="U80" i="8"/>
  <c r="U99" i="8"/>
  <c r="U32" i="8"/>
  <c r="U25" i="8"/>
  <c r="U95" i="8"/>
  <c r="U23" i="8"/>
  <c r="U24" i="8"/>
  <c r="U96" i="8"/>
  <c r="U72" i="8"/>
  <c r="U38" i="8"/>
  <c r="U57" i="8"/>
  <c r="U101" i="8"/>
  <c r="U35" i="8"/>
  <c r="U60" i="8"/>
  <c r="U93" i="8"/>
  <c r="U47" i="8"/>
  <c r="U68" i="8"/>
  <c r="U64" i="8"/>
  <c r="U48" i="8"/>
  <c r="U26" i="8"/>
  <c r="U53" i="8"/>
  <c r="U69" i="8"/>
  <c r="U65" i="8"/>
  <c r="U86" i="8"/>
  <c r="U50" i="8"/>
  <c r="U71" i="8"/>
  <c r="U19" i="8"/>
  <c r="U97" i="8"/>
  <c r="U11" i="8"/>
  <c r="U29" i="8"/>
  <c r="U8" i="8"/>
  <c r="U67" i="8"/>
  <c r="U83" i="8"/>
  <c r="U54" i="8"/>
  <c r="U62" i="8"/>
  <c r="U78" i="8"/>
  <c r="U16" i="8"/>
  <c r="U59" i="8"/>
  <c r="U42" i="8"/>
  <c r="U33" i="8"/>
  <c r="U51" i="8"/>
  <c r="U39" i="8"/>
  <c r="U18" i="8"/>
  <c r="U107" i="8"/>
  <c r="U73" i="8"/>
  <c r="U36" i="8"/>
  <c r="U104" i="8"/>
  <c r="U13" i="8"/>
  <c r="U98" i="8"/>
  <c r="U94" i="8"/>
  <c r="U89" i="8"/>
  <c r="U44" i="8"/>
  <c r="U100" i="8"/>
  <c r="U20" i="8"/>
  <c r="U43" i="8"/>
  <c r="U9" i="8"/>
  <c r="U84" i="8"/>
  <c r="U22" i="8"/>
  <c r="U82" i="8"/>
  <c r="U75" i="8"/>
  <c r="U49" i="8"/>
  <c r="U14" i="8"/>
  <c r="U92" i="8"/>
  <c r="U103" i="8"/>
  <c r="U46" i="8"/>
  <c r="U34" i="8"/>
  <c r="U31" i="8"/>
  <c r="U17" i="8"/>
  <c r="U5" i="8"/>
  <c r="U108" i="8"/>
  <c r="U40" i="8"/>
  <c r="U21" i="8"/>
  <c r="U90" i="8"/>
  <c r="U70" i="8"/>
  <c r="U102" i="8"/>
  <c r="U85" i="8"/>
  <c r="U79" i="8"/>
  <c r="U63" i="8"/>
  <c r="U61" i="8"/>
  <c r="U12" i="8"/>
  <c r="U58" i="8"/>
  <c r="U30" i="8"/>
  <c r="U15" i="8"/>
  <c r="U105" i="8"/>
  <c r="U74" i="8"/>
  <c r="U76" i="8"/>
  <c r="U6" i="8"/>
  <c r="U55" i="8"/>
  <c r="U87" i="8"/>
  <c r="G17" i="5" l="1"/>
  <c r="G21" i="5" s="1"/>
  <c r="D43" i="5" l="1"/>
  <c r="C2" i="5" l="1"/>
  <c r="E14" i="5" l="1"/>
  <c r="F14" i="5" s="1"/>
  <c r="D14" i="5" s="1"/>
  <c r="I14" i="5"/>
  <c r="J14" i="5" s="1"/>
  <c r="H14" i="5" s="1"/>
  <c r="E15" i="5"/>
  <c r="F15" i="5"/>
  <c r="D15" i="5" s="1"/>
  <c r="I15" i="5"/>
  <c r="J15" i="5" s="1"/>
  <c r="H15" i="5" s="1"/>
  <c r="G16" i="5"/>
  <c r="I17" i="5"/>
  <c r="J17" i="5" s="1"/>
  <c r="H17" i="5" s="1"/>
  <c r="G18" i="5"/>
  <c r="E19" i="5"/>
  <c r="F19" i="5"/>
  <c r="D19" i="5" s="1"/>
  <c r="I19" i="5"/>
  <c r="J19" i="5" s="1"/>
  <c r="H19" i="5" s="1"/>
  <c r="B20" i="5"/>
  <c r="G20" i="5"/>
  <c r="I21" i="5"/>
  <c r="J21" i="5" s="1"/>
  <c r="H21" i="5" s="1"/>
  <c r="G22" i="5"/>
  <c r="B18" i="5" l="1"/>
  <c r="E18" i="5" s="1"/>
  <c r="E17" i="5"/>
  <c r="F17" i="5"/>
  <c r="D17" i="5" s="1"/>
  <c r="I20" i="5"/>
  <c r="J20" i="5" s="1"/>
  <c r="H20" i="5" s="1"/>
  <c r="F20" i="5"/>
  <c r="D20" i="5" s="1"/>
  <c r="I22" i="5"/>
  <c r="J22" i="5" s="1"/>
  <c r="H22" i="5" s="1"/>
  <c r="I18" i="5"/>
  <c r="J18" i="5" s="1"/>
  <c r="H18" i="5" s="1"/>
  <c r="I16" i="5"/>
  <c r="J16" i="5" s="1"/>
  <c r="H16" i="5" s="1"/>
  <c r="E20" i="5"/>
  <c r="F16" i="5"/>
  <c r="D16" i="5" s="1"/>
  <c r="E16" i="5"/>
  <c r="F18" i="5" l="1"/>
  <c r="D18" i="5" s="1"/>
  <c r="E21" i="5"/>
  <c r="D21" i="5"/>
  <c r="F22" i="5" l="1"/>
  <c r="D22" i="5" s="1"/>
  <c r="E22" i="5"/>
  <c r="A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Microsoft Office User</author>
  </authors>
  <commentList>
    <comment ref="E5" authorId="0" shapeId="0" xr:uid="{ABCF5A99-322C-9441-B560-D987CBE4D9AB}">
      <text>
        <r>
          <rPr>
            <b/>
            <sz val="10"/>
            <color rgb="FF000000"/>
            <rFont val="Tahoma"/>
            <family val="2"/>
          </rPr>
          <t>Murphy, Andrew:</t>
        </r>
        <r>
          <rPr>
            <sz val="10"/>
            <color rgb="FF000000"/>
            <rFont val="Tahoma"/>
            <family val="2"/>
          </rPr>
          <t xml:space="preserve">
</t>
        </r>
        <r>
          <rPr>
            <sz val="9"/>
            <color rgb="FF000000"/>
            <rFont val="Tahoma"/>
            <family val="2"/>
          </rPr>
          <t xml:space="preserve">In July 2020 it was on sale, at $239.99. We wil look at discounts in the next step
</t>
        </r>
        <r>
          <rPr>
            <sz val="10"/>
            <color rgb="FF000000"/>
            <rFont val="Calibri"/>
            <family val="2"/>
          </rPr>
          <t>🤔</t>
        </r>
        <r>
          <rPr>
            <sz val="10"/>
            <color rgb="FF000000"/>
            <rFont val="Calibri"/>
            <family val="2"/>
          </rPr>
          <t>:</t>
        </r>
        <r>
          <rPr>
            <sz val="9"/>
            <color rgb="FF000000"/>
            <rFont val="Calibri"/>
            <family val="2"/>
          </rPr>
          <t xml:space="preserve"> </t>
        </r>
        <r>
          <rPr>
            <sz val="9"/>
            <color rgb="FF000000"/>
            <rFont val="Tahoma"/>
            <family val="2"/>
          </rPr>
          <t xml:space="preserve"> see if you can figure out what the Recommended Retail Price was, if that was stated to be 40% off?</t>
        </r>
      </text>
    </comment>
    <comment ref="B20" authorId="1" shapeId="0" xr:uid="{CDCED46B-AE44-8B45-9C02-779CC05E6BA1}">
      <text>
        <r>
          <rPr>
            <b/>
            <sz val="10"/>
            <color rgb="FF000000"/>
            <rFont val="Tahoma"/>
            <family val="2"/>
          </rPr>
          <t>Andrew Murphy:</t>
        </r>
        <r>
          <rPr>
            <sz val="10"/>
            <color rgb="FF000000"/>
            <rFont val="Tahoma"/>
            <family val="2"/>
          </rPr>
          <t xml:space="preserve">
</t>
        </r>
        <r>
          <rPr>
            <sz val="10"/>
            <color rgb="FF000000"/>
            <rFont val="Calibri"/>
            <family val="2"/>
          </rPr>
          <t xml:space="preserve">NZ GST is 15%, added to all retail sales. Store shelf prices almost always include GST, it is not added at checkout (unlike say the United States or Canada)
</t>
        </r>
      </text>
    </comment>
    <comment ref="E21" authorId="1" shapeId="0" xr:uid="{C649782E-85DB-ED44-92BB-AC931D5FCE6B}">
      <text>
        <r>
          <rPr>
            <b/>
            <sz val="10"/>
            <color rgb="FF000000"/>
            <rFont val="Tahoma"/>
            <family val="2"/>
          </rPr>
          <t>Andrew Murphy:</t>
        </r>
        <r>
          <rPr>
            <sz val="10"/>
            <color rgb="FF000000"/>
            <rFont val="Tahoma"/>
            <family val="2"/>
          </rPr>
          <t xml:space="preserve">
</t>
        </r>
        <r>
          <rPr>
            <sz val="10"/>
            <color rgb="FF000000"/>
            <rFont val="Tahoma"/>
            <family val="2"/>
          </rPr>
          <t xml:space="preserve">Don't just enter the result, calculated on your phone! 
</t>
        </r>
        <r>
          <rPr>
            <sz val="10"/>
            <color rgb="FF000000"/>
            <rFont val="Tahoma"/>
            <family val="2"/>
          </rPr>
          <t xml:space="preserve">This particular box will only turn green if you get the EXACT answer - safest to use the correct formula.
</t>
        </r>
        <r>
          <rPr>
            <sz val="10"/>
            <color rgb="FF000000"/>
            <rFont val="Tahoma"/>
            <family val="2"/>
          </rPr>
          <t xml:space="preserve">Some other boxes will allow for a bit of rounding error - but not this one!
</t>
        </r>
      </text>
    </comment>
    <comment ref="A23" authorId="1" shapeId="0" xr:uid="{5F305608-35B7-3C48-8DCF-4E2627A480A2}">
      <text>
        <r>
          <rPr>
            <b/>
            <sz val="10"/>
            <color rgb="FF000000"/>
            <rFont val="Tahoma"/>
            <family val="2"/>
          </rPr>
          <t>Andrew Murphy:</t>
        </r>
        <r>
          <rPr>
            <sz val="10"/>
            <color rgb="FF000000"/>
            <rFont val="Tahoma"/>
            <family val="2"/>
          </rPr>
          <t xml:space="preserve">
</t>
        </r>
        <r>
          <rPr>
            <sz val="10"/>
            <color rgb="FF000000"/>
            <rFont val="Tahoma"/>
            <family val="2"/>
          </rPr>
          <t>Business-to-business (B2B) transactions such as from wholesaler to retailer are almost always stated ex-GST. While the supplier will add GST to the sale price, the retailer will be able to offset that purchase GST against sales GST.</t>
        </r>
      </text>
    </comment>
    <comment ref="G51" authorId="1" shapeId="0" xr:uid="{0324D1BF-9FC2-4C7C-943B-E3DCB4130EFE}">
      <text>
        <r>
          <rPr>
            <b/>
            <sz val="10"/>
            <color rgb="FF000000"/>
            <rFont val="Tahoma"/>
            <family val="2"/>
          </rPr>
          <t>Andrew Murphy:</t>
        </r>
        <r>
          <rPr>
            <sz val="10"/>
            <color rgb="FF000000"/>
            <rFont val="Tahoma"/>
            <family val="2"/>
          </rPr>
          <t xml:space="preserve">
</t>
        </r>
        <r>
          <rPr>
            <sz val="10"/>
            <color rgb="FF000000"/>
            <rFont val="Tahoma"/>
            <family val="2"/>
          </rPr>
          <t xml:space="preserve">Multiply the full price RRP by 0.8 
</t>
        </r>
        <r>
          <rPr>
            <sz val="10"/>
            <color rgb="FF000000"/>
            <rFont val="Tahoma"/>
            <family val="2"/>
          </rPr>
          <t>or RRP*(1-0.2)</t>
        </r>
      </text>
    </comment>
    <comment ref="E55" authorId="1" shapeId="0" xr:uid="{7A690130-B611-4823-949E-732A89C5937E}">
      <text>
        <r>
          <rPr>
            <b/>
            <sz val="10"/>
            <color rgb="FF000000"/>
            <rFont val="Tahoma"/>
            <family val="2"/>
          </rPr>
          <t>Andrew Murphy:</t>
        </r>
        <r>
          <rPr>
            <sz val="10"/>
            <color rgb="FF000000"/>
            <rFont val="Tahoma"/>
            <family val="2"/>
          </rPr>
          <t xml:space="preserve">
</t>
        </r>
        <r>
          <rPr>
            <sz val="10"/>
            <color rgb="FF000000"/>
            <rFont val="Tahoma"/>
            <family val="2"/>
          </rPr>
          <t>You still need to complete this box, even though it has no highlighting. Not every box will be a green or red box!</t>
        </r>
      </text>
    </comment>
    <comment ref="G56" authorId="1" shapeId="0" xr:uid="{1FA86012-C30C-48C7-878C-A5D22243D37A}">
      <text>
        <r>
          <rPr>
            <b/>
            <sz val="10"/>
            <color rgb="FF000000"/>
            <rFont val="Tahoma"/>
            <family val="2"/>
          </rPr>
          <t>Andrew Murphy:</t>
        </r>
        <r>
          <rPr>
            <sz val="10"/>
            <color rgb="FF000000"/>
            <rFont val="Tahoma"/>
            <family val="2"/>
          </rPr>
          <t xml:space="preserve">
</t>
        </r>
        <r>
          <rPr>
            <sz val="10"/>
            <color rgb="FF000000"/>
            <rFont val="Tahoma"/>
            <family val="2"/>
          </rPr>
          <t xml:space="preserve">To save yourself some time, you can copy cell E56 once completed, and in this cell Paste Special &gt; Formulas
</t>
        </r>
        <r>
          <rPr>
            <sz val="10"/>
            <color rgb="FF000000"/>
            <rFont val="Tahoma"/>
            <family val="2"/>
          </rPr>
          <t>and then Paste Special again in H56</t>
        </r>
      </text>
    </comment>
    <comment ref="E58" authorId="0" shapeId="0" xr:uid="{361ECB19-993B-0447-942C-EB7C08BFBA87}">
      <text>
        <r>
          <rPr>
            <b/>
            <sz val="10"/>
            <color rgb="FF000000"/>
            <rFont val="Tahoma"/>
            <family val="2"/>
          </rPr>
          <t>Murphy, Andrew:</t>
        </r>
        <r>
          <rPr>
            <sz val="10"/>
            <color rgb="FF000000"/>
            <rFont val="Tahoma"/>
            <family val="2"/>
          </rPr>
          <t xml:space="preserve">
</t>
        </r>
        <r>
          <rPr>
            <sz val="10"/>
            <color rgb="FF000000"/>
            <rFont val="Tahoma"/>
            <family val="2"/>
          </rPr>
          <t>This is a scenario analysis. What happens if 10 bikes sell at RRP?</t>
        </r>
      </text>
    </comment>
    <comment ref="G58" authorId="0" shapeId="0" xr:uid="{97A5CA7A-9FDF-4B48-8A2C-AD56821757DB}">
      <text>
        <r>
          <rPr>
            <b/>
            <sz val="10"/>
            <color rgb="FF000000"/>
            <rFont val="Tahoma"/>
            <family val="2"/>
          </rPr>
          <t>Murphy, Andrew:</t>
        </r>
        <r>
          <rPr>
            <sz val="10"/>
            <color rgb="FF000000"/>
            <rFont val="Tahoma"/>
            <family val="2"/>
          </rPr>
          <t xml:space="preserve">
</t>
        </r>
        <r>
          <rPr>
            <sz val="10"/>
            <color rgb="FF000000"/>
            <rFont val="Tahoma"/>
            <family val="2"/>
          </rPr>
          <t>What happens if 20 bikes sell at the discounted price?</t>
        </r>
      </text>
    </comment>
    <comment ref="H58" authorId="0" shapeId="0" xr:uid="{6C3157DF-FCE5-254E-8EF0-D658D8C545EC}">
      <text>
        <r>
          <rPr>
            <b/>
            <sz val="10"/>
            <color rgb="FF000000"/>
            <rFont val="Tahoma"/>
            <family val="2"/>
          </rPr>
          <t>Murphy, Andrew:</t>
        </r>
        <r>
          <rPr>
            <sz val="10"/>
            <color rgb="FF000000"/>
            <rFont val="Tahoma"/>
            <family val="2"/>
          </rPr>
          <t xml:space="preserve">
</t>
        </r>
        <r>
          <rPr>
            <sz val="10"/>
            <color rgb="FF000000"/>
            <rFont val="Tahoma"/>
            <family val="2"/>
          </rPr>
          <t>What happens if 30 bikes sell at the clearance price?</t>
        </r>
      </text>
    </comment>
    <comment ref="H67" authorId="0" shapeId="0" xr:uid="{A383D804-0F8A-8D48-941C-CEEA06F0C873}">
      <text>
        <r>
          <rPr>
            <b/>
            <sz val="10"/>
            <color rgb="FF000000"/>
            <rFont val="Tahoma"/>
            <family val="2"/>
          </rPr>
          <t>Murphy, Andrew:</t>
        </r>
        <r>
          <rPr>
            <sz val="10"/>
            <color rgb="FF000000"/>
            <rFont val="Tahoma"/>
            <family val="2"/>
          </rPr>
          <t xml:space="preserve">
</t>
        </r>
        <r>
          <rPr>
            <sz val="10"/>
            <color rgb="FF000000"/>
            <rFont val="Tahoma"/>
            <family val="2"/>
          </rPr>
          <t xml:space="preserve">This is a survey dataset about consumer attitudes towards </t>
        </r>
        <r>
          <rPr>
            <sz val="10"/>
            <color rgb="FF000000"/>
            <rFont val="Calibri"/>
            <family val="2"/>
          </rPr>
          <t xml:space="preserve">sustainability, intended purchase behaviours, and knowledge of and support for retailer sustainability practices. We will use this dataset in several of the labs, and in the Report. For Lab 1 we will look at a small part of the dataset, both in questions (columns) and respondents (rows)
</t>
        </r>
      </text>
    </comment>
    <comment ref="C68" authorId="0" shapeId="0" xr:uid="{707D2EC6-14B6-E947-A863-9F132B2FDC1B}">
      <text>
        <r>
          <rPr>
            <b/>
            <sz val="10"/>
            <color rgb="FF000000"/>
            <rFont val="Tahoma"/>
            <family val="2"/>
          </rPr>
          <t>Murphy, Andrew:</t>
        </r>
        <r>
          <rPr>
            <sz val="10"/>
            <color rgb="FF000000"/>
            <rFont val="Tahoma"/>
            <family val="2"/>
          </rPr>
          <t xml:space="preserve">
</t>
        </r>
        <r>
          <rPr>
            <sz val="10"/>
            <color rgb="FF000000"/>
            <rFont val="Tahoma"/>
            <family val="2"/>
          </rPr>
          <t>We would also normally check for outliers and other indicators of non-normality, but we will introduce those concepts in a later lecture, and how to check for them</t>
        </r>
      </text>
    </comment>
    <comment ref="H71" authorId="2" shapeId="0" xr:uid="{B437FFB7-C6B5-8947-A4CD-BD2D3979DD91}">
      <text>
        <r>
          <rPr>
            <b/>
            <sz val="10"/>
            <color rgb="FF000000"/>
            <rFont val="Tahoma"/>
            <family val="2"/>
          </rPr>
          <t>Andrew Murphy:</t>
        </r>
        <r>
          <rPr>
            <sz val="10"/>
            <color rgb="FF000000"/>
            <rFont val="Tahoma"/>
            <family val="2"/>
          </rPr>
          <t xml:space="preserve">
</t>
        </r>
        <r>
          <rPr>
            <sz val="10"/>
            <color rgb="FF000000"/>
            <rFont val="Tahoma"/>
            <family val="2"/>
          </rPr>
          <t>Hereafter I will refer to these as Control/Command -choose whichever applies to your OS)</t>
        </r>
      </text>
    </comment>
    <comment ref="I73" authorId="2" shapeId="0" xr:uid="{82C3A191-C664-3845-9FF5-C0F192FE7E5D}">
      <text>
        <r>
          <rPr>
            <b/>
            <sz val="10"/>
            <color rgb="FF000000"/>
            <rFont val="Tahoma"/>
            <family val="2"/>
          </rPr>
          <t>Andrew Murphy:</t>
        </r>
        <r>
          <rPr>
            <sz val="10"/>
            <color rgb="FF000000"/>
            <rFont val="Tahoma"/>
            <family val="2"/>
          </rPr>
          <t xml:space="preserve">
</t>
        </r>
        <r>
          <rPr>
            <sz val="10"/>
            <color rgb="FF000000"/>
            <rFont val="Tahoma"/>
            <family val="2"/>
          </rPr>
          <t xml:space="preserve">Note that as you move around, the top four rows stay fixed, and the first column.
</t>
        </r>
        <r>
          <rPr>
            <sz val="10"/>
            <color rgb="FF000000"/>
            <rFont val="Tahoma"/>
            <family val="2"/>
          </rPr>
          <t xml:space="preserve">These have been 'frozen', so you know what variables you are looking at (row 2), and which respondent (column A).
</t>
        </r>
        <r>
          <rPr>
            <sz val="10"/>
            <color rgb="FF000000"/>
            <rFont val="Tahoma"/>
            <family val="2"/>
          </rPr>
          <t xml:space="preserve">You can 'unfreeze panes' if you want via the View ribbon.
</t>
        </r>
        <r>
          <rPr>
            <sz val="10"/>
            <color rgb="FF000000"/>
            <rFont val="Tahoma"/>
            <family val="2"/>
          </rPr>
          <t>To get back to what was preset, click in cell B5, and click 'Freeze Panes'. It freezes whatever is above, and to the left, of the cell selected.</t>
        </r>
      </text>
    </comment>
    <comment ref="J74" authorId="0" shapeId="0" xr:uid="{C0346C99-5EB0-DA48-A619-641776ADEF68}">
      <text>
        <r>
          <rPr>
            <b/>
            <sz val="10"/>
            <color rgb="FF000000"/>
            <rFont val="Tahoma"/>
            <family val="2"/>
          </rPr>
          <t>Murphy, Andrew:</t>
        </r>
        <r>
          <rPr>
            <sz val="10"/>
            <color rgb="FF000000"/>
            <rFont val="Tahoma"/>
            <family val="2"/>
          </rPr>
          <t xml:space="preserve">
</t>
        </r>
        <r>
          <rPr>
            <sz val="10"/>
            <color rgb="FF000000"/>
            <rFont val="Tahoma"/>
            <family val="2"/>
          </rPr>
          <t xml:space="preserve">You wouldn't use the quotes in this Find and Replace - I'm including them to show what you would enter into the relevant boxes. The "" means entering nothing, and the " sec" means it will select the space before the letters as well.
</t>
        </r>
        <r>
          <rPr>
            <sz val="10"/>
            <color rgb="FF000000"/>
            <rFont val="Tahoma"/>
            <family val="2"/>
          </rPr>
          <t>However, you aren't actually doing Find&gt;Replace - it's just for information.</t>
        </r>
      </text>
    </comment>
    <comment ref="J83" authorId="0" shapeId="0" xr:uid="{23ACA0F7-D95F-9447-B76C-A3157AD7AE34}">
      <text>
        <r>
          <rPr>
            <b/>
            <sz val="10"/>
            <color rgb="FF000000"/>
            <rFont val="Tahoma"/>
            <family val="2"/>
          </rPr>
          <t>Murphy, Andrew:</t>
        </r>
        <r>
          <rPr>
            <sz val="10"/>
            <color rgb="FF000000"/>
            <rFont val="Tahoma"/>
            <family val="2"/>
          </rPr>
          <t xml:space="preserve">
</t>
        </r>
        <r>
          <rPr>
            <sz val="10"/>
            <color rgb="FF000000"/>
            <rFont val="Tahoma"/>
            <family val="2"/>
          </rPr>
          <t xml:space="preserve">You could just say </t>
        </r>
        <r>
          <rPr>
            <b/>
            <sz val="10"/>
            <color rgb="FFFF0000"/>
            <rFont val="Tahoma"/>
            <family val="2"/>
          </rPr>
          <t>=B5&amp;" sec"</t>
        </r>
        <r>
          <rPr>
            <sz val="10"/>
            <color rgb="FF000000"/>
            <rFont val="Tahoma"/>
            <family val="2"/>
          </rPr>
          <t xml:space="preserve">, since column C5 doesn't change - it is a 'constant', not a 'variable'. </t>
        </r>
      </text>
    </comment>
    <comment ref="M84" authorId="0" shapeId="0" xr:uid="{E0DA059D-5975-4741-9CDF-33E1AC8920E9}">
      <text>
        <r>
          <rPr>
            <b/>
            <sz val="10"/>
            <color rgb="FF000000"/>
            <rFont val="Tahoma"/>
            <family val="2"/>
          </rPr>
          <t>Murphy, Andrew:</t>
        </r>
        <r>
          <rPr>
            <sz val="10"/>
            <color rgb="FF000000"/>
            <rFont val="Tahoma"/>
            <family val="2"/>
          </rPr>
          <t xml:space="preserve">
</t>
        </r>
        <r>
          <rPr>
            <sz val="10"/>
            <color rgb="FF000000"/>
            <rFont val="Calibri"/>
            <family val="2"/>
            <scheme val="minor"/>
          </rPr>
          <t xml:space="preserve">NB: this involves writing over what you have just done in column D. Don’t worry about it – you do not need to show the result of the concatenation.
</t>
        </r>
      </text>
    </comment>
    <comment ref="H85" authorId="1" shapeId="0" xr:uid="{943D2DB9-2D71-5549-B8D2-741A6691ECA3}">
      <text>
        <r>
          <rPr>
            <b/>
            <sz val="10"/>
            <color rgb="FF000000"/>
            <rFont val="Tahoma"/>
            <family val="2"/>
          </rPr>
          <t>Andrew Murphy:</t>
        </r>
        <r>
          <rPr>
            <sz val="10"/>
            <color rgb="FF000000"/>
            <rFont val="Tahoma"/>
            <family val="2"/>
          </rPr>
          <t xml:space="preserve">
</t>
        </r>
        <r>
          <rPr>
            <sz val="10"/>
            <color rgb="FF000000"/>
            <rFont val="Calibri"/>
            <family val="2"/>
          </rPr>
          <t xml:space="preserve">[We can only do this once we’ve removed the “ sec” text, and the cell converts from text to number format.] </t>
        </r>
      </text>
    </comment>
    <comment ref="H93" authorId="1" shapeId="0" xr:uid="{C68040F1-5073-E540-95E6-537473375119}">
      <text>
        <r>
          <rPr>
            <b/>
            <sz val="10"/>
            <color rgb="FF000000"/>
            <rFont val="Tahoma"/>
            <family val="2"/>
          </rPr>
          <t>Andrew Murphy:</t>
        </r>
        <r>
          <rPr>
            <sz val="10"/>
            <color rgb="FF000000"/>
            <rFont val="Tahoma"/>
            <family val="2"/>
          </rPr>
          <t xml:space="preserve">
</t>
        </r>
        <r>
          <rPr>
            <sz val="10"/>
            <color rgb="FF000000"/>
            <rFont val="Tahoma"/>
            <family val="2"/>
          </rPr>
          <t xml:space="preserve">!! If you sort ONLY in column D, and all the other data remains in the same place, you would have a broken sort: your values in column D will be different to column B (not just /60) and your data would be useless.
</t>
        </r>
        <r>
          <rPr>
            <sz val="10"/>
            <color rgb="FF000000"/>
            <rFont val="Tahoma"/>
            <family val="2"/>
          </rPr>
          <t>Please take great care when sorting - learning to do it correctly now will save you lots of time and confusion in future labs.</t>
        </r>
      </text>
    </comment>
    <comment ref="O97" authorId="1" shapeId="0" xr:uid="{98AF361B-73FD-924E-861B-C92DC38F2CF6}">
      <text>
        <r>
          <rPr>
            <b/>
            <sz val="10"/>
            <color rgb="FF000000"/>
            <rFont val="Tahoma"/>
            <family val="2"/>
          </rPr>
          <t>Andrew Murphy:</t>
        </r>
        <r>
          <rPr>
            <sz val="10"/>
            <color rgb="FF000000"/>
            <rFont val="Tahoma"/>
            <family val="2"/>
          </rPr>
          <t xml:space="preserve">
</t>
        </r>
        <r>
          <rPr>
            <sz val="10"/>
            <color rgb="FF000000"/>
            <rFont val="Tahoma"/>
            <family val="2"/>
          </rPr>
          <t>XLOOKUP requires Microsoft 365. If you have an older version of Excel, use the online version at remote.massey.ac.nz</t>
        </r>
      </text>
    </comment>
    <comment ref="M100" authorId="1" shapeId="0" xr:uid="{5EF9F346-5E7B-C94E-99B4-625AE84F867E}">
      <text>
        <r>
          <rPr>
            <b/>
            <sz val="10"/>
            <color rgb="FF000000"/>
            <rFont val="Tahoma"/>
            <family val="2"/>
          </rPr>
          <t>Andrew Murphy:</t>
        </r>
        <r>
          <rPr>
            <sz val="10"/>
            <color rgb="FF000000"/>
            <rFont val="Tahoma"/>
            <family val="2"/>
          </rPr>
          <t xml:space="preserve">
</t>
        </r>
        <r>
          <rPr>
            <sz val="10"/>
            <color rgb="FF000000"/>
            <rFont val="Tahoma"/>
            <family val="2"/>
          </rPr>
          <t>We will look at minimum and maximum in Topic 3, so we are getting ahead of ourselves a bit!</t>
        </r>
      </text>
    </comment>
    <comment ref="C115" authorId="0" shapeId="0" xr:uid="{DB4C82E0-C8CE-004E-B179-1B4B4FE98637}">
      <text>
        <r>
          <rPr>
            <b/>
            <sz val="10"/>
            <color rgb="FF000000"/>
            <rFont val="Tahoma"/>
            <family val="2"/>
          </rPr>
          <t>Murphy, Andrew:</t>
        </r>
        <r>
          <rPr>
            <sz val="10"/>
            <color rgb="FF000000"/>
            <rFont val="Tahoma"/>
            <family val="2"/>
          </rPr>
          <t xml:space="preserve">
</t>
        </r>
        <r>
          <rPr>
            <sz val="10"/>
            <color rgb="FF000000"/>
            <rFont val="Tahoma"/>
            <family val="2"/>
          </rPr>
          <t xml:space="preserve">Transpose flips rows and columns.
</t>
        </r>
        <r>
          <rPr>
            <sz val="10"/>
            <color rgb="FF000000"/>
            <rFont val="Tahoma"/>
            <family val="2"/>
          </rPr>
          <t xml:space="preserve">You need to also choose Values, so that Excel pastes the result of the formula, not the formula itself.
</t>
        </r>
        <r>
          <rPr>
            <sz val="10"/>
            <color rgb="FF000000"/>
            <rFont val="Tahoma"/>
            <family val="2"/>
          </rPr>
          <t xml:space="preserve">If you paste the formula, it will try to find 1s, 2s and 3s in the range E5:E108 in THIS sheet. </t>
        </r>
      </text>
    </comment>
    <comment ref="B118" authorId="0" shapeId="0" xr:uid="{905982BD-AF49-1244-9FD2-C66234BD3BAF}">
      <text>
        <r>
          <rPr>
            <b/>
            <sz val="10"/>
            <color rgb="FF000000"/>
            <rFont val="Tahoma"/>
            <family val="2"/>
          </rPr>
          <t>Murphy, Andrew:</t>
        </r>
        <r>
          <rPr>
            <sz val="18"/>
            <color rgb="FF000000"/>
            <rFont val="Calibri"/>
            <family val="2"/>
          </rPr>
          <t xml:space="preserve">
</t>
        </r>
        <r>
          <rPr>
            <sz val="10"/>
            <color rgb="FF000000"/>
            <rFont val="Calibri"/>
            <family val="2"/>
          </rPr>
          <t xml:space="preserve">The #DIV/0! error message means there is a formula in the cell that cannot be resolved, since it refers to a blank cell (the row above). 
</t>
        </r>
        <r>
          <rPr>
            <sz val="10"/>
            <color rgb="FF000000"/>
            <rFont val="Calibri"/>
            <family val="2"/>
          </rPr>
          <t xml:space="preserve">When you paste information into B110:D110, and sum those for the total 
</t>
        </r>
        <r>
          <rPr>
            <sz val="10"/>
            <color rgb="FF000000"/>
            <rFont val="Calibri"/>
            <family val="2"/>
          </rPr>
          <t xml:space="preserve">[E110 </t>
        </r>
        <r>
          <rPr>
            <b/>
            <sz val="10"/>
            <color rgb="FFFF0000"/>
            <rFont val="Calibri"/>
            <family val="2"/>
          </rPr>
          <t>=Sum(B110:D110)</t>
        </r>
        <r>
          <rPr>
            <sz val="10"/>
            <color rgb="FF000000"/>
            <rFont val="Calibri"/>
            <family val="2"/>
          </rPr>
          <t xml:space="preserve">], the % formula should show the correct result. 
</t>
        </r>
        <r>
          <rPr>
            <sz val="10"/>
            <color rgb="FF000000"/>
            <rFont val="Calibri"/>
            <family val="2"/>
          </rPr>
          <t xml:space="preserve">Check it to make sure!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G7" authorId="0" shapeId="0" xr:uid="{F632A5EC-E138-6C40-9A80-570DCA966FDA}">
      <text>
        <r>
          <rPr>
            <b/>
            <sz val="10"/>
            <color rgb="FF000000"/>
            <rFont val="Tahoma"/>
            <family val="2"/>
          </rPr>
          <t>Andrew Murphy:</t>
        </r>
        <r>
          <rPr>
            <sz val="10"/>
            <color rgb="FF000000"/>
            <rFont val="Tahoma"/>
            <family val="2"/>
          </rPr>
          <t xml:space="preserve">
</t>
        </r>
        <r>
          <rPr>
            <sz val="10"/>
            <color rgb="FF000000"/>
            <rFont val="Tahoma"/>
            <family val="2"/>
          </rPr>
          <t>Page 36 of the report, but page 19 of the file</t>
        </r>
      </text>
    </comment>
    <comment ref="G8" authorId="0" shapeId="0" xr:uid="{69959293-6973-034C-A381-1CA48F88E7B9}">
      <text>
        <r>
          <rPr>
            <b/>
            <sz val="10"/>
            <color rgb="FF000000"/>
            <rFont val="Tahoma"/>
            <family val="2"/>
          </rPr>
          <t>Andrew Murphy:</t>
        </r>
        <r>
          <rPr>
            <sz val="10"/>
            <color rgb="FF000000"/>
            <rFont val="Tahoma"/>
            <family val="2"/>
          </rPr>
          <t xml:space="preserve">
</t>
        </r>
        <r>
          <rPr>
            <sz val="10"/>
            <color rgb="FF000000"/>
            <rFont val="Tahoma"/>
            <family val="2"/>
          </rPr>
          <t>Page 44 of the report, but page 23 of the file</t>
        </r>
      </text>
    </comment>
    <comment ref="B15" authorId="1" shapeId="0" xr:uid="{57611FB7-FEA4-4F73-A021-60958066FD1F}">
      <text>
        <r>
          <rPr>
            <b/>
            <sz val="9"/>
            <color rgb="FF000000"/>
            <rFont val="Tahoma"/>
            <family val="2"/>
          </rPr>
          <t>Murphy, Andrew:</t>
        </r>
        <r>
          <rPr>
            <sz val="9"/>
            <color rgb="FF000000"/>
            <rFont val="Tahoma"/>
            <family val="2"/>
          </rPr>
          <t xml:space="preserve">
</t>
        </r>
        <r>
          <rPr>
            <sz val="9"/>
            <color rgb="FF000000"/>
            <rFont val="Tahoma"/>
            <family val="2"/>
          </rPr>
          <t>Don't enter the negative sign or brackets. Rather than pasting in this cell, click in the cell and type in the formula bar, without the commas</t>
        </r>
      </text>
    </comment>
    <comment ref="B16" authorId="0" shapeId="0" xr:uid="{79FDDE15-ADF9-2A49-85C4-35EEC2CC3D87}">
      <text>
        <r>
          <rPr>
            <b/>
            <sz val="10"/>
            <color rgb="FF000000"/>
            <rFont val="Tahoma"/>
            <family val="2"/>
          </rPr>
          <t>Andrew Murphy:</t>
        </r>
        <r>
          <rPr>
            <sz val="10"/>
            <color rgb="FF000000"/>
            <rFont val="Tahoma"/>
            <family val="2"/>
          </rPr>
          <t xml:space="preserve">
</t>
        </r>
        <r>
          <rPr>
            <sz val="10"/>
            <color rgb="FF000000"/>
            <rFont val="Tahoma"/>
            <family val="2"/>
          </rPr>
          <t>This formula is already entered for you, and will change from #DIV/0! when you enter a value into B15</t>
        </r>
      </text>
    </comment>
    <comment ref="E16" authorId="0" shapeId="0" xr:uid="{324649CC-C5B4-244D-B443-5995F3793EE3}">
      <text>
        <r>
          <rPr>
            <b/>
            <sz val="10"/>
            <color rgb="FF000000"/>
            <rFont val="Tahoma"/>
            <family val="2"/>
          </rPr>
          <t>Andrew Murphy:</t>
        </r>
        <r>
          <rPr>
            <sz val="10"/>
            <color rgb="FF000000"/>
            <rFont val="Tahoma"/>
            <family val="2"/>
          </rPr>
          <t xml:space="preserve">
</t>
        </r>
        <r>
          <rPr>
            <sz val="10"/>
            <color rgb="FF000000"/>
            <rFont val="Tahoma"/>
            <family val="2"/>
          </rPr>
          <t>Change in percentage points</t>
        </r>
      </text>
    </comment>
    <comment ref="A17" authorId="1" shapeId="0" xr:uid="{00000000-0006-0000-0000-000001000000}">
      <text>
        <r>
          <rPr>
            <b/>
            <sz val="9"/>
            <color rgb="FF000000"/>
            <rFont val="Tahoma"/>
            <family val="2"/>
          </rPr>
          <t>Murphy, Andrew:</t>
        </r>
        <r>
          <rPr>
            <sz val="9"/>
            <color rgb="FF000000"/>
            <rFont val="Tahoma"/>
            <family val="2"/>
          </rPr>
          <t xml:space="preserve">
</t>
        </r>
        <r>
          <rPr>
            <sz val="9"/>
            <color rgb="FF000000"/>
            <rFont val="Tahoma"/>
            <family val="2"/>
          </rPr>
          <t xml:space="preserve">As labelled in the financial statements: total sales revenue minus COGS 
</t>
        </r>
        <r>
          <rPr>
            <sz val="9"/>
            <color rgb="FF000000"/>
            <rFont val="Tahoma"/>
            <family val="2"/>
          </rPr>
          <t>(this is the sum of gross margin across all products sold)</t>
        </r>
      </text>
    </comment>
    <comment ref="A19" authorId="1" shapeId="0" xr:uid="{CFB83A36-AD17-594C-8A62-38323F6B8522}">
      <text>
        <r>
          <rPr>
            <b/>
            <sz val="10"/>
            <color rgb="FF000000"/>
            <rFont val="Tahoma"/>
            <family val="2"/>
          </rPr>
          <t>Murphy, Andrew:</t>
        </r>
        <r>
          <rPr>
            <sz val="10"/>
            <color rgb="FF000000"/>
            <rFont val="Tahoma"/>
            <family val="2"/>
          </rPr>
          <t xml:space="preserve">
</t>
        </r>
        <r>
          <rPr>
            <sz val="9"/>
            <color rgb="FF000000"/>
            <rFont val="Calibri"/>
            <family val="2"/>
          </rPr>
          <t xml:space="preserve">Add the three cost components together </t>
        </r>
      </text>
    </comment>
    <comment ref="A21" authorId="1" shapeId="0" xr:uid="{5D288B4C-A8D8-7A4B-9A0A-D23351479A04}">
      <text>
        <r>
          <rPr>
            <b/>
            <sz val="10"/>
            <color rgb="FF000000"/>
            <rFont val="Tahoma"/>
            <family val="2"/>
          </rPr>
          <t>Murphy, Andrew:</t>
        </r>
        <r>
          <rPr>
            <sz val="10"/>
            <color rgb="FF000000"/>
            <rFont val="Tahoma"/>
            <family val="2"/>
          </rPr>
          <t xml:space="preserve">
</t>
        </r>
        <r>
          <rPr>
            <sz val="10"/>
            <color rgb="FF000000"/>
            <rFont val="Tahoma"/>
            <family val="2"/>
          </rPr>
          <t>Note the value for this in the Consolidated Income Statement also includes 'Other Income' and 'Unusual Items' so is different</t>
        </r>
      </text>
    </comment>
    <comment ref="B38" authorId="1" shapeId="0" xr:uid="{1FD2031E-9DC5-C54D-B97C-6D583B5BAAF5}">
      <text>
        <r>
          <rPr>
            <b/>
            <sz val="10"/>
            <color rgb="FF000000"/>
            <rFont val="Tahoma"/>
            <family val="2"/>
          </rPr>
          <t>Murphy, Andrew:</t>
        </r>
        <r>
          <rPr>
            <sz val="10"/>
            <color rgb="FF000000"/>
            <rFont val="Tahoma"/>
            <family val="2"/>
          </rPr>
          <t xml:space="preserve">
</t>
        </r>
        <r>
          <rPr>
            <sz val="10"/>
            <color rgb="FF000000"/>
            <rFont val="Tahoma"/>
            <family val="2"/>
          </rPr>
          <t>Stongly disagree</t>
        </r>
      </text>
    </comment>
    <comment ref="B42" authorId="1" shapeId="0" xr:uid="{D92FDF00-D3C0-E647-8A1E-08CDDC54F7AE}">
      <text>
        <r>
          <rPr>
            <b/>
            <sz val="10"/>
            <color rgb="FF000000"/>
            <rFont val="Tahoma"/>
            <family val="2"/>
          </rPr>
          <t>Murphy, Andrew:</t>
        </r>
        <r>
          <rPr>
            <sz val="10"/>
            <color rgb="FF000000"/>
            <rFont val="Tahoma"/>
            <family val="2"/>
          </rPr>
          <t xml:space="preserve">
</t>
        </r>
        <r>
          <rPr>
            <sz val="10"/>
            <color rgb="FF000000"/>
            <rFont val="Tahoma"/>
            <family val="2"/>
          </rPr>
          <t>Strongly agree</t>
        </r>
      </text>
    </comment>
    <comment ref="M120" authorId="0" shapeId="0" xr:uid="{3CEB643D-E7FB-AE4E-91D7-B5BA46D33E4A}">
      <text>
        <r>
          <rPr>
            <b/>
            <sz val="10"/>
            <color rgb="FF000000"/>
            <rFont val="Tahoma"/>
            <family val="2"/>
          </rPr>
          <t>Andrew Murphy:</t>
        </r>
        <r>
          <rPr>
            <sz val="10"/>
            <color rgb="FF000000"/>
            <rFont val="Tahoma"/>
            <family val="2"/>
          </rPr>
          <t xml:space="preserve">
</t>
        </r>
        <r>
          <rPr>
            <sz val="10"/>
            <color rgb="FF000000"/>
            <rFont val="Tahoma"/>
            <family val="2"/>
          </rPr>
          <t>91 prices jumped above $3/L in late March - these are month averages</t>
        </r>
      </text>
    </comment>
    <comment ref="A128" authorId="0" shapeId="0" xr:uid="{E6AD0171-7BD2-544F-9237-9C6B09572B2B}">
      <text>
        <r>
          <rPr>
            <b/>
            <sz val="10"/>
            <color rgb="FF000000"/>
            <rFont val="Tahoma"/>
            <family val="2"/>
          </rPr>
          <t>Andrew Murphy:</t>
        </r>
        <r>
          <rPr>
            <sz val="10"/>
            <color rgb="FF000000"/>
            <rFont val="Tahoma"/>
            <family val="2"/>
          </rPr>
          <t xml:space="preserve">
</t>
        </r>
        <r>
          <rPr>
            <sz val="10"/>
            <color rgb="FF000000"/>
            <rFont val="Tahoma"/>
            <family val="2"/>
          </rPr>
          <t>December 2025 prices</t>
        </r>
      </text>
    </comment>
    <comment ref="A129" authorId="0" shapeId="0" xr:uid="{6B9AFBF7-C2C1-1646-AC46-E9D258C16B6D}">
      <text>
        <r>
          <rPr>
            <b/>
            <sz val="10"/>
            <color rgb="FF000000"/>
            <rFont val="Tahoma"/>
            <family val="2"/>
          </rPr>
          <t>Andrew Murphy:</t>
        </r>
        <r>
          <rPr>
            <sz val="10"/>
            <color rgb="FF000000"/>
            <rFont val="Tahoma"/>
            <family val="2"/>
          </rPr>
          <t xml:space="preserve">
</t>
        </r>
        <r>
          <rPr>
            <sz val="10"/>
            <color rgb="FF000000"/>
            <rFont val="Tahoma"/>
            <family val="2"/>
          </rPr>
          <t>Using the CPI inflator, March 2026 prices</t>
        </r>
      </text>
    </comment>
    <comment ref="A131" authorId="0" shapeId="0" xr:uid="{1E9CC638-7A3E-424E-B081-C0A142D4A68C}">
      <text>
        <r>
          <rPr>
            <b/>
            <sz val="10"/>
            <color rgb="FF000000"/>
            <rFont val="Tahoma"/>
            <family val="2"/>
          </rPr>
          <t>Andrew Murphy:</t>
        </r>
        <r>
          <rPr>
            <sz val="10"/>
            <color rgb="FF000000"/>
            <rFont val="Tahoma"/>
            <family val="2"/>
          </rPr>
          <t xml:space="preserve">
</t>
        </r>
        <r>
          <rPr>
            <sz val="10"/>
            <color rgb="FF000000"/>
            <rFont val="Tahoma"/>
            <family val="2"/>
          </rPr>
          <t>You can multiply the historical value by this 'inflator' to bring it up to real (March 2025) prices</t>
        </r>
      </text>
    </comment>
    <comment ref="B133" authorId="0" shapeId="0" xr:uid="{E3D0C34F-27E7-614F-A1B0-68861877E96B}">
      <text>
        <r>
          <rPr>
            <b/>
            <sz val="10"/>
            <color rgb="FF000000"/>
            <rFont val="Tahoma"/>
            <family val="2"/>
          </rPr>
          <t>Andrew Murphy:</t>
        </r>
        <r>
          <rPr>
            <sz val="10"/>
            <color rgb="FF000000"/>
            <rFont val="Tahoma"/>
            <family val="2"/>
          </rPr>
          <t xml:space="preserve">
</t>
        </r>
        <r>
          <rPr>
            <sz val="10"/>
            <color rgb="FF000000"/>
            <rFont val="Tahoma"/>
            <family val="2"/>
          </rPr>
          <t xml:space="preserve">Up to 2 bonus marks are available here: if you've lost marks elsewhere in Lab 1 or Lab 2, you can recover up to 2 marks 
</t>
        </r>
        <r>
          <rPr>
            <sz val="10"/>
            <color rgb="FF000000"/>
            <rFont val="Tahoma"/>
            <family val="2"/>
          </rPr>
          <t xml:space="preserve">by doing this extra bonus task. Unfortunately you cannot get 
</t>
        </r>
        <r>
          <rPr>
            <sz val="10"/>
            <color rgb="FF000000"/>
            <rFont val="Tahoma"/>
            <family val="2"/>
          </rPr>
          <t>MORE than full marks, or carry forward to future labs!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T2" authorId="0" shapeId="0" xr:uid="{D858CC04-6EDA-1943-96F7-4170157EF2D7}">
      <text>
        <r>
          <rPr>
            <b/>
            <sz val="10"/>
            <color rgb="FF000000"/>
            <rFont val="Tahoma"/>
            <family val="2"/>
          </rPr>
          <t>Murphy, Andrew:</t>
        </r>
        <r>
          <rPr>
            <sz val="10"/>
            <color rgb="FF000000"/>
            <rFont val="Tahoma"/>
            <family val="2"/>
          </rPr>
          <t xml:space="preserve">
</t>
        </r>
        <r>
          <rPr>
            <sz val="10"/>
            <color rgb="FF000000"/>
            <rFont val="Tahoma"/>
            <family val="2"/>
          </rPr>
          <t>There was also an "other" option, omitted for simplicity here</t>
        </r>
      </text>
    </comment>
    <comment ref="E110" authorId="1" shapeId="0" xr:uid="{E3185EB3-9218-6849-B9E6-5434F32DF163}">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t>
        </r>
      </text>
    </comment>
    <comment ref="H114" authorId="1" shapeId="0" xr:uid="{80B7E6C8-B10C-B54C-B15D-54DC3F00CCF1}">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 using 2 as the criteria</t>
        </r>
      </text>
    </comment>
    <comment ref="I114" authorId="1" shapeId="0" xr:uid="{F2A372A8-CA30-1A48-AEC0-0B87DA56A374}">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 using 3 as the criteria</t>
        </r>
      </text>
    </comment>
    <comment ref="J114" authorId="1" shapeId="0" xr:uid="{03058F1D-416D-CD41-B984-3EEB271A81A1}">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 using 4 as the criteria</t>
        </r>
      </text>
    </comment>
    <comment ref="C117" authorId="1" shapeId="0" xr:uid="{FF58FE71-72CD-2642-AA05-1236D643B72C}">
      <text>
        <r>
          <rPr>
            <b/>
            <sz val="10"/>
            <color rgb="FF000000"/>
            <rFont val="Tahoma"/>
            <family val="2"/>
          </rPr>
          <t>Andrew Murphy:</t>
        </r>
        <r>
          <rPr>
            <sz val="10"/>
            <color rgb="FF000000"/>
            <rFont val="Tahoma"/>
            <family val="2"/>
          </rPr>
          <t xml:space="preserve">
</t>
        </r>
        <r>
          <rPr>
            <sz val="10"/>
            <color rgb="FF000000"/>
            <rFont val="Tahoma"/>
            <family val="2"/>
          </rPr>
          <t>You can use the formula =min(d5:D108) if you want, to find the quickest response</t>
        </r>
      </text>
    </comment>
    <comment ref="D117" authorId="1" shapeId="0" xr:uid="{2EDB004B-2C20-0A40-9D5D-2722E6D6F667}">
      <text>
        <r>
          <rPr>
            <b/>
            <sz val="10"/>
            <color rgb="FF000000"/>
            <rFont val="Tahoma"/>
            <family val="2"/>
          </rPr>
          <t>Andrew Murphy:</t>
        </r>
        <r>
          <rPr>
            <sz val="10"/>
            <color rgb="FF000000"/>
            <rFont val="Tahoma"/>
            <family val="2"/>
          </rPr>
          <t xml:space="preserve">
</t>
        </r>
        <r>
          <rPr>
            <sz val="10"/>
            <color rgb="FF000000"/>
            <rFont val="Tahoma"/>
            <family val="2"/>
          </rPr>
          <t xml:space="preserve">Use the formula 
</t>
        </r>
        <r>
          <rPr>
            <sz val="10"/>
            <color rgb="FF000000"/>
            <rFont val="Tahoma"/>
            <family val="2"/>
          </rPr>
          <t>=XLOOKUP(C117,D5:D108,A5:A108)</t>
        </r>
      </text>
    </comment>
  </commentList>
</comments>
</file>

<file path=xl/sharedStrings.xml><?xml version="1.0" encoding="utf-8"?>
<sst xmlns="http://schemas.openxmlformats.org/spreadsheetml/2006/main" count="532" uniqueCount="402">
  <si>
    <t>Task 2:</t>
  </si>
  <si>
    <t>Total</t>
  </si>
  <si>
    <t>Task 1:</t>
  </si>
  <si>
    <t>Answer</t>
  </si>
  <si>
    <t>What is the ex-GST price?</t>
  </si>
  <si>
    <t>What is the GM%?</t>
  </si>
  <si>
    <t>What is the Gross Margin $?</t>
  </si>
  <si>
    <t>and %?</t>
  </si>
  <si>
    <t>Full price:</t>
  </si>
  <si>
    <t>RRP:</t>
  </si>
  <si>
    <t>Units sold at that RRP:</t>
  </si>
  <si>
    <t>Show Formula Used</t>
  </si>
  <si>
    <t>With 20% discount</t>
  </si>
  <si>
    <t>It has an RRP of $6999.99, but has a 20% 'launch' discount.</t>
  </si>
  <si>
    <t>If it costs $200 (ex-GST) to add the bike to inventory:</t>
  </si>
  <si>
    <t xml:space="preserve">Process: </t>
  </si>
  <si>
    <t>What is the COGS for the latest order?</t>
  </si>
  <si>
    <t>What is the total gross margin $?</t>
  </si>
  <si>
    <t>COGS:</t>
  </si>
  <si>
    <t>What is the total sales revenue? (ex-GST)</t>
  </si>
  <si>
    <t>EBIT % sales revenue</t>
  </si>
  <si>
    <t>CODB % sales revenue</t>
  </si>
  <si>
    <t>CODB (Lease, Employee, Depreciation,Other expense)</t>
  </si>
  <si>
    <t>GP % sales revenue</t>
  </si>
  <si>
    <t>COGS % sales revenue</t>
  </si>
  <si>
    <t>COGS (Cost of Retail Goods Sold)</t>
  </si>
  <si>
    <t>Sales (Total Revenue)</t>
  </si>
  <si>
    <t>% var</t>
  </si>
  <si>
    <t xml:space="preserve">Var </t>
  </si>
  <si>
    <t>Var</t>
  </si>
  <si>
    <t>Complete the following table:</t>
  </si>
  <si>
    <t>115.109: Topic 2 Lab Worksheet</t>
  </si>
  <si>
    <t>Clearance price:</t>
  </si>
  <si>
    <t>What is the markup %?</t>
  </si>
  <si>
    <t>If it costs $4600 to add the bike to inventory:</t>
  </si>
  <si>
    <t>For now, we need to check all data is OK (no missing data), and transform column B</t>
  </si>
  <si>
    <t xml:space="preserve">     Hold the Cntrl / Command key (Windows/Mac) and press the right arrow key to go the far right of an 'array' (contiguous set of data). </t>
  </si>
  <si>
    <t>5) With the selected data, choose the 'Text to Columns' button on the Data toolbar (or for Macs, also in the Data menu)</t>
  </si>
  <si>
    <t>Males =1</t>
  </si>
  <si>
    <t>Females =2</t>
  </si>
  <si>
    <t>Diverse =3</t>
  </si>
  <si>
    <t xml:space="preserve">     It offers two options: Delimited (where a specified character separates data) or Fixed Width. Choose Delimited, and click Next</t>
  </si>
  <si>
    <t xml:space="preserve">     Then select the Space option (you can leave the Tab option ticked - it makes no difference to this data), and Next</t>
  </si>
  <si>
    <t>Response level</t>
  </si>
  <si>
    <t xml:space="preserve">     (We use a $ in front of the numbers so the specified range stays the same when you copy formula down the next six rows;</t>
  </si>
  <si>
    <t>Gross Profit $</t>
  </si>
  <si>
    <t>EBIT (Earnings before Interest and Tax) from retail operations</t>
  </si>
  <si>
    <t>Links to financial statements:</t>
  </si>
  <si>
    <t xml:space="preserve">     The &amp; tells Excel that you are adding something to the contents of cell B5; the " " means you want a single space, and then the contents of cell C5. </t>
  </si>
  <si>
    <t xml:space="preserve">     The result is text, which you could then Parse using the Text to Columns function again… Instead, we are going to transform the contents in Column B with a formula: converting seconds to minutes.</t>
  </si>
  <si>
    <r>
      <t xml:space="preserve">6) The result is time data in column B, and 'sec' in column C, which we could remove. Instead, let's do the opposite action: </t>
    </r>
    <r>
      <rPr>
        <b/>
        <sz val="11"/>
        <color theme="1"/>
        <rFont val="Calibri"/>
        <family val="2"/>
        <scheme val="minor"/>
      </rPr>
      <t>Concatenation</t>
    </r>
  </si>
  <si>
    <t xml:space="preserve">      Select Sort from the Home or Data ribbons (or the Data menu for Macs), and choose Largest to Smallest for column D</t>
  </si>
  <si>
    <t xml:space="preserve">     Depending on which method you choose, you may see the Sort dialog box, or three options only</t>
  </si>
  <si>
    <t xml:space="preserve">     (choosing Custom List… brings up the dialog box). </t>
  </si>
  <si>
    <t xml:space="preserve">     NB: if you only selected column D, Excel would prompt you to Extend the range - but best to select all the data first.</t>
  </si>
  <si>
    <t xml:space="preserve">     This shows the information Excel uses to construct the chart</t>
  </si>
  <si>
    <t xml:space="preserve">     The third bit is the data range; and the fourth is the series order</t>
  </si>
  <si>
    <t xml:space="preserve">     (change this number, and the series shift around in the legend, and may change colour)</t>
  </si>
  <si>
    <t xml:space="preserve">     The second bit is the X-axis info, and is currently missing (nothing shows between the commas)</t>
  </si>
  <si>
    <t xml:space="preserve">     Do this to any one series, and it fixes it for all three. Magic!</t>
  </si>
  <si>
    <t>4) Give the Chart a better Title, and add X-axis and Y-axis labels: Chart Design ribbon &gt; Add Chart Element &gt; Axis Titles &gt; turn on both</t>
  </si>
  <si>
    <t>Task 5: Create a Pie Chart of the Gender split of the sample % Male vs Female vs Diverse</t>
  </si>
  <si>
    <t>Chart: Pie       ↓</t>
  </si>
  <si>
    <t>% of respondents</t>
  </si>
  <si>
    <t>Frequencies</t>
  </si>
  <si>
    <t>&lt;&lt;End of Lab 1&gt;&gt;</t>
  </si>
  <si>
    <t>&lt;&lt;End of Lab 2&gt;&gt;</t>
  </si>
  <si>
    <t>2) What would happen if you copy that formula into cell E39 WITHOUT that dollar sign? (see hint in row 33 above)</t>
  </si>
  <si>
    <t>Place Chart here: Column  ↓  (and scroll down for Task 5)</t>
  </si>
  <si>
    <t>Was the discount worthwhile in profit terms?</t>
  </si>
  <si>
    <t>Household Income</t>
  </si>
  <si>
    <t>1: Male
2: Female
3: Gender diverse</t>
  </si>
  <si>
    <t>Which gender do you identify with?</t>
  </si>
  <si>
    <t>Question</t>
  </si>
  <si>
    <t>Variable Group</t>
  </si>
  <si>
    <t>Diverse:</t>
  </si>
  <si>
    <t>Female:</t>
  </si>
  <si>
    <t>Male</t>
  </si>
  <si>
    <t>P104</t>
  </si>
  <si>
    <t>P103</t>
  </si>
  <si>
    <t>P102</t>
  </si>
  <si>
    <t>P101</t>
  </si>
  <si>
    <t>P100</t>
  </si>
  <si>
    <t>P99</t>
  </si>
  <si>
    <t>P98</t>
  </si>
  <si>
    <t>P97</t>
  </si>
  <si>
    <t>P96</t>
  </si>
  <si>
    <t>P95</t>
  </si>
  <si>
    <t>P94</t>
  </si>
  <si>
    <t>P93</t>
  </si>
  <si>
    <t>P92</t>
  </si>
  <si>
    <t>P91</t>
  </si>
  <si>
    <t>P90</t>
  </si>
  <si>
    <t>P89</t>
  </si>
  <si>
    <t>P88</t>
  </si>
  <si>
    <t>P87</t>
  </si>
  <si>
    <t>P86</t>
  </si>
  <si>
    <t>P85</t>
  </si>
  <si>
    <t>P84</t>
  </si>
  <si>
    <t>P83</t>
  </si>
  <si>
    <t>P82</t>
  </si>
  <si>
    <t>P81</t>
  </si>
  <si>
    <t>P80</t>
  </si>
  <si>
    <t>P79</t>
  </si>
  <si>
    <t>P78</t>
  </si>
  <si>
    <t>P77</t>
  </si>
  <si>
    <t>P76</t>
  </si>
  <si>
    <t>P75</t>
  </si>
  <si>
    <t>P74</t>
  </si>
  <si>
    <t>P73</t>
  </si>
  <si>
    <t>P72</t>
  </si>
  <si>
    <t>P71</t>
  </si>
  <si>
    <t>P70</t>
  </si>
  <si>
    <t>P69</t>
  </si>
  <si>
    <t>P68</t>
  </si>
  <si>
    <t>P67</t>
  </si>
  <si>
    <t>P66</t>
  </si>
  <si>
    <t>P65</t>
  </si>
  <si>
    <t>P64</t>
  </si>
  <si>
    <t>P63</t>
  </si>
  <si>
    <t>P62</t>
  </si>
  <si>
    <t>P61</t>
  </si>
  <si>
    <t>P60</t>
  </si>
  <si>
    <t>P59</t>
  </si>
  <si>
    <t>P58</t>
  </si>
  <si>
    <t>P57</t>
  </si>
  <si>
    <t>P56</t>
  </si>
  <si>
    <t>P55</t>
  </si>
  <si>
    <t>P54</t>
  </si>
  <si>
    <t>P53</t>
  </si>
  <si>
    <t>P52</t>
  </si>
  <si>
    <t>P51</t>
  </si>
  <si>
    <t>P50</t>
  </si>
  <si>
    <t>P49</t>
  </si>
  <si>
    <t>P48</t>
  </si>
  <si>
    <t>P47</t>
  </si>
  <si>
    <t>P46</t>
  </si>
  <si>
    <t>P45</t>
  </si>
  <si>
    <t>P44</t>
  </si>
  <si>
    <t>P43</t>
  </si>
  <si>
    <t>P42</t>
  </si>
  <si>
    <t>P41</t>
  </si>
  <si>
    <t>P40</t>
  </si>
  <si>
    <t>P39</t>
  </si>
  <si>
    <t>P38</t>
  </si>
  <si>
    <t>P37</t>
  </si>
  <si>
    <t>P36</t>
  </si>
  <si>
    <t>P35</t>
  </si>
  <si>
    <t>P34</t>
  </si>
  <si>
    <t>P33</t>
  </si>
  <si>
    <t>P32</t>
  </si>
  <si>
    <t>P31</t>
  </si>
  <si>
    <t>P30</t>
  </si>
  <si>
    <t>P29</t>
  </si>
  <si>
    <t>P28</t>
  </si>
  <si>
    <t>P27</t>
  </si>
  <si>
    <t>P26</t>
  </si>
  <si>
    <t>P25</t>
  </si>
  <si>
    <t>P24</t>
  </si>
  <si>
    <t>P23</t>
  </si>
  <si>
    <t>P22</t>
  </si>
  <si>
    <t>P21</t>
  </si>
  <si>
    <t>P20</t>
  </si>
  <si>
    <t>P19</t>
  </si>
  <si>
    <t>P18</t>
  </si>
  <si>
    <t>P17</t>
  </si>
  <si>
    <t>P16</t>
  </si>
  <si>
    <t>P15</t>
  </si>
  <si>
    <t>P14</t>
  </si>
  <si>
    <t>P13</t>
  </si>
  <si>
    <t>P12</t>
  </si>
  <si>
    <t>P11</t>
  </si>
  <si>
    <t>P10</t>
  </si>
  <si>
    <t>P9</t>
  </si>
  <si>
    <t>P8</t>
  </si>
  <si>
    <t>P7</t>
  </si>
  <si>
    <t>P6</t>
  </si>
  <si>
    <t>P5</t>
  </si>
  <si>
    <t>P4</t>
  </si>
  <si>
    <t>P3</t>
  </si>
  <si>
    <t>P2</t>
  </si>
  <si>
    <t>P1</t>
  </si>
  <si>
    <t>1: Strongly disagree
3: Neither disagree nor agree
5: Strongly agree</t>
  </si>
  <si>
    <t>1: Up to $30,000
2: $30,001 - $50,000
3: $50,001 - $70,000
4: $70,001 - $100,000
5: $100,001 - $130,000
6: Over $130,000
7: Would rather not say</t>
  </si>
  <si>
    <t>1: Not likely
5: Very likely</t>
  </si>
  <si>
    <t>1: Not at all
5: Very often
6: Don't know</t>
  </si>
  <si>
    <r>
      <t xml:space="preserve">
These numbers don't mean anything </t>
    </r>
    <r>
      <rPr>
        <i/>
        <sz val="8"/>
        <color theme="1"/>
        <rFont val="Calibri"/>
        <family val="2"/>
        <scheme val="minor"/>
      </rPr>
      <t>per se (nominal data)</t>
    </r>
    <r>
      <rPr>
        <sz val="8"/>
        <color theme="1"/>
        <rFont val="Calibri"/>
        <family val="2"/>
        <scheme val="minor"/>
      </rPr>
      <t>, just that the item was chosen. 
You can count how many times each item was chosen individually, 
but analysing combinations  within multi-pick questions is problematic!</t>
    </r>
  </si>
  <si>
    <t>7: Under 18
1: 18-24
2: 25-34
3: 35-44
4: 45-54
5: 55-64
6: 65+</t>
  </si>
  <si>
    <t>I know a lot about sustainable products and brands sold in the marketplace</t>
  </si>
  <si>
    <t>I know a great deal about sustainability and sustainability matters</t>
  </si>
  <si>
    <t>I have a good knowledge about sustainability issues</t>
  </si>
  <si>
    <t>Any individual person can make a difference to the world by choosing products carefully</t>
  </si>
  <si>
    <t>Each consumer’s behaviour can have a positive effect on society by buying products that are sustainable</t>
  </si>
  <si>
    <t>What I purchase as a consumer has an effect on the nation’s future sustainability</t>
  </si>
  <si>
    <t>I feel I can help solve sustainability issues by buying sustainable products</t>
  </si>
  <si>
    <t>I can contribute to a sustainable future by buying products that are made sustainably</t>
  </si>
  <si>
    <t>I feel capable of helping solve sustainability issues, e.g. environment, societal problems</t>
  </si>
  <si>
    <t>What is your total household income before tax?Â </t>
  </si>
  <si>
    <t>There should be a bottle deposit scheme, with customers reimbursed for taking back milk, juice and water bottles to the retailer or a recycle station</t>
  </si>
  <si>
    <t>Retailers should be required to take back packaging they sell product in (including cardboard, bubble, wrap or filler, polystyrene..</t>
  </si>
  <si>
    <t>I believe it is acceptable to spend extra money for products that are sustainable</t>
  </si>
  <si>
    <t>I am willing to spend more money in order to buy products that are sustainable</t>
  </si>
  <si>
    <t>How likely are you to pay more for a product that has come from a business that implements sustainable practices?</t>
  </si>
  <si>
    <t>How often do you buy a product that has come from a business that implements sustainable practices?</t>
  </si>
  <si>
    <t>Limiting population and economic growth</t>
  </si>
  <si>
    <t>Cleaning our waterways and oceans</t>
  </si>
  <si>
    <t>Conserving water</t>
  </si>
  <si>
    <t>Traceability (can trace where the product has come from "farm to fork")</t>
  </si>
  <si>
    <t>Having social well-being focus rather than economic progress</t>
  </si>
  <si>
    <t>Having actionable plans for climate change</t>
  </si>
  <si>
    <t>Protecting  ecosystems</t>
  </si>
  <si>
    <t>Using renewable resources</t>
  </si>
  <si>
    <t>Carbon emission reduction</t>
  </si>
  <si>
    <t>Being socially responsible</t>
  </si>
  <si>
    <t>Targeting zero waste</t>
  </si>
  <si>
    <t>Being environmentally responsible</t>
  </si>
  <si>
    <t>Good corporate citizenship</t>
  </si>
  <si>
    <t>Items Picked</t>
  </si>
  <si>
    <t>Which of the following age groups do you fit into:Â </t>
  </si>
  <si>
    <t>Know sustainable brands</t>
  </si>
  <si>
    <t>Know sustainability</t>
  </si>
  <si>
    <t>Good knowledge</t>
  </si>
  <si>
    <t>Individual difference</t>
  </si>
  <si>
    <t>Positive effect</t>
  </si>
  <si>
    <t>Purchase effect</t>
  </si>
  <si>
    <t>Can help</t>
  </si>
  <si>
    <t>Contribute</t>
  </si>
  <si>
    <t>Capable to solve</t>
  </si>
  <si>
    <t>Bottle Deposit scheme</t>
  </si>
  <si>
    <t>Return Packaging</t>
  </si>
  <si>
    <t>AcceptablePayMore</t>
  </si>
  <si>
    <t>WillingPayMore</t>
  </si>
  <si>
    <t>LikelyPayMore</t>
  </si>
  <si>
    <t>HowOftenBuy</t>
  </si>
  <si>
    <t>Number of Items picked</t>
  </si>
  <si>
    <t>Not sure</t>
  </si>
  <si>
    <t>Limiting growth</t>
  </si>
  <si>
    <t>Waterways</t>
  </si>
  <si>
    <t>Water</t>
  </si>
  <si>
    <t>Traceability</t>
  </si>
  <si>
    <t>Social well-being</t>
  </si>
  <si>
    <t>Climate change</t>
  </si>
  <si>
    <t>Ecosystems</t>
  </si>
  <si>
    <t>Renewables</t>
  </si>
  <si>
    <t>Carbon emissions</t>
  </si>
  <si>
    <t>Social responsible</t>
  </si>
  <si>
    <t>Zero waste</t>
  </si>
  <si>
    <t>Enviro responsible</t>
  </si>
  <si>
    <t>Corporate citizenship</t>
  </si>
  <si>
    <t>Age</t>
  </si>
  <si>
    <t>Gender</t>
  </si>
  <si>
    <t>Variable</t>
  </si>
  <si>
    <t>Sustainability literacy</t>
  </si>
  <si>
    <t>Sustainable intentions and behaiour</t>
  </si>
  <si>
    <t xml:space="preserve">What does sustainability mean to you? (select all that apply) </t>
  </si>
  <si>
    <t>Minutes</t>
  </si>
  <si>
    <t>Duration (min)</t>
  </si>
  <si>
    <t>Calculation based on elapsed time</t>
  </si>
  <si>
    <t>Survey Duration (text)</t>
  </si>
  <si>
    <t>Elapsed time to complete survey</t>
  </si>
  <si>
    <t>Task 3: Using the "SustainabilityData-10%sample" datasheet, do some data checks</t>
  </si>
  <si>
    <t>This is an ~10% subsample: a selection from a larger dataset, which we will use in future labs (and in the report).</t>
  </si>
  <si>
    <t>1) Do the following in the SustainabilityData-10%sample tab at the bottom of the spreadsheet</t>
  </si>
  <si>
    <r>
      <t xml:space="preserve">2) Use the quick scrolling keys to go the bottom and right of the dataset: holding the </t>
    </r>
    <r>
      <rPr>
        <i/>
        <sz val="11"/>
        <color theme="1"/>
        <rFont val="Calibri"/>
        <family val="2"/>
        <scheme val="minor"/>
      </rPr>
      <t>Cntrl</t>
    </r>
    <r>
      <rPr>
        <sz val="11"/>
        <color theme="1"/>
        <rFont val="Calibri"/>
        <family val="2"/>
        <scheme val="minor"/>
      </rPr>
      <t xml:space="preserve"> key (Windows) or </t>
    </r>
    <r>
      <rPr>
        <i/>
        <sz val="11"/>
        <color theme="1"/>
        <rFont val="Calibri"/>
        <family val="2"/>
        <scheme val="minor"/>
      </rPr>
      <t>Command</t>
    </r>
    <r>
      <rPr>
        <sz val="11"/>
        <color theme="1"/>
        <rFont val="Calibri"/>
        <family val="2"/>
        <scheme val="minor"/>
      </rPr>
      <t xml:space="preserve"> key (Mac) and press the down arrow key to go the bottom of an 'array' (contiguous set of data)</t>
    </r>
  </si>
  <si>
    <t xml:space="preserve">     (Alternatively you could drag down with the drag handle in cell D5. It's much slower, especially for large datasets.)</t>
  </si>
  <si>
    <t>1) Determine the gender composition of the survey respondents. In cell E4, we can see there are three options: 1=Male, 2=Female and 3=Gender diverse (eg transgender, intersex)</t>
  </si>
  <si>
    <t>Question:</t>
  </si>
  <si>
    <t>Selected</t>
  </si>
  <si>
    <t>Not selected</t>
  </si>
  <si>
    <t>1) The CountIf function used in Lab1 used a fixed criterion to determine what to count in a specified range of data (eg 2 or 3). The criterion can also refer to a cell, and so can vary.</t>
  </si>
  <si>
    <t>Task 2: Analyse sustainability knowledge (SustainabilityData-10%sample)</t>
  </si>
  <si>
    <r>
      <t>Column AI:</t>
    </r>
    <r>
      <rPr>
        <sz val="9"/>
        <color theme="1"/>
        <rFont val="Calibri"/>
        <family val="2"/>
        <scheme val="minor"/>
      </rPr>
      <t xml:space="preserve">
"I have a good knowledge about sustainability issues"</t>
    </r>
  </si>
  <si>
    <r>
      <t>Column AJ:</t>
    </r>
    <r>
      <rPr>
        <sz val="9"/>
        <color theme="1"/>
        <rFont val="Calibri"/>
        <family val="2"/>
        <scheme val="minor"/>
      </rPr>
      <t xml:space="preserve">
"I know a great deal about sustainability and sustainability matters"</t>
    </r>
  </si>
  <si>
    <r>
      <t xml:space="preserve">Column AK:
</t>
    </r>
    <r>
      <rPr>
        <sz val="9"/>
        <color theme="1"/>
        <rFont val="Calibri"/>
        <family val="2"/>
        <scheme val="minor"/>
      </rPr>
      <t>"I know a lot about sustainable products and brands sold in the marketplace"</t>
    </r>
  </si>
  <si>
    <t>% of 
respondents 
in column AI</t>
  </si>
  <si>
    <t>% of 
respondents 
in column AJ</t>
  </si>
  <si>
    <t>% of 
respondents 
in column AK</t>
  </si>
  <si>
    <t xml:space="preserve">     AND in front of the letter B so that the criterion stays the same when you copy across to columns D and E)</t>
  </si>
  <si>
    <t>Task 3: Contrast subjective knowledge of sustainability</t>
  </si>
  <si>
    <t>Task 4: Create a bar chart of the three % columns in Task 2 above</t>
  </si>
  <si>
    <t>Note: To completely answer the full survey a respondent would take a minimum of 240 seconds.
2: New Zealand
3: United States</t>
  </si>
  <si>
    <t>Strongly disagree</t>
  </si>
  <si>
    <t>Strongly agree</t>
  </si>
  <si>
    <r>
      <t xml:space="preserve">     </t>
    </r>
    <r>
      <rPr>
        <b/>
        <sz val="11"/>
        <color theme="1"/>
        <rFont val="Calibri"/>
        <family val="2"/>
        <scheme val="minor"/>
      </rPr>
      <t>Parsing</t>
    </r>
    <r>
      <rPr>
        <sz val="11"/>
        <color theme="1"/>
        <rFont val="Calibri"/>
        <family val="2"/>
        <scheme val="minor"/>
      </rPr>
      <t xml:space="preserve"> means splitting data. We want to Parse the data in cells B5:B108 (in the SustainabilityData sheet) so that the number remains in column B, and the " sec" goes into column C (and could then be deleted).</t>
    </r>
  </si>
  <si>
    <r>
      <t xml:space="preserve">4) Select the data from cells B5:B108, by clicking in cell B5, then hold the Shift+Control/Command and the down arrow key. </t>
    </r>
    <r>
      <rPr>
        <i/>
        <sz val="11"/>
        <color theme="1"/>
        <rFont val="Calibri"/>
        <family val="2"/>
        <scheme val="minor"/>
      </rPr>
      <t>(Holding Shift selects as you scroll.)</t>
    </r>
  </si>
  <si>
    <t xml:space="preserve">     Finally it asks where to put the data; the default is fine (B5 onwards - note it will split the column into two, and spill into C5:C108 - since this is blank, that's all good)</t>
  </si>
  <si>
    <t xml:space="preserve">     Now hold Control/Command+Shift+Up arrow to select the range D5:D108. Keep holding the Shift key (only), and press Down arrow once; you should now have D5:D108 selected. Paste (Control/Command+V)</t>
  </si>
  <si>
    <t xml:space="preserve">     Copy down, the quick way: copy cell D5, use the left arrow key to go to cell C5, then control/command+down arrow to go to cell C108. Right arrow to cell D108.</t>
  </si>
  <si>
    <t xml:space="preserve">     To calculate the non-selected, you can use the total sample size (104) minus the number selected</t>
  </si>
  <si>
    <t xml:space="preserve">1) Select cells F37:H42 above, and Insert ribbon &gt; insert Column &gt; 2D Column. </t>
  </si>
  <si>
    <t xml:space="preserve">2) Click on the first bar (mine is blue), and inspect the formula bar. </t>
  </si>
  <si>
    <t xml:space="preserve">     The first information (Lab2!$F$37) determines what goes into the legend.</t>
  </si>
  <si>
    <t>3) In this case it doesn’t matter that there is nothing in the X-axis range, as the default (1-5) corresponds to our data anyway (scale levels)</t>
  </si>
  <si>
    <t xml:space="preserve">     If you want to fix it anyway, click between the commas in the formula bar, and select B38:B42 above. The result should look like this: (the chart won't change)</t>
  </si>
  <si>
    <r>
      <t xml:space="preserve">     To determine how many males we have, we could sort the whole dataset by column E, and then work out how many 1s there are. Or we can use a function: </t>
    </r>
    <r>
      <rPr>
        <b/>
        <sz val="11"/>
        <color theme="1"/>
        <rFont val="Calibri"/>
        <family val="2"/>
        <scheme val="minor"/>
      </rPr>
      <t>CountIf</t>
    </r>
  </si>
  <si>
    <t>Answer coding</t>
  </si>
  <si>
    <t>2 if selected, otherwise blank</t>
  </si>
  <si>
    <t>3 if selected, otherwise blank</t>
  </si>
  <si>
    <t>4 if selected, otherwise blank</t>
  </si>
  <si>
    <t xml:space="preserve">     For now, calculate how many respondents selected these options in cells H5:H108, I5:I108 and J5:J108, into cells H114:J114 in the SustainabilityData sheet. Copy and Paste Special &gt; Values and Transpose those answers below.</t>
  </si>
  <si>
    <t xml:space="preserve">     NB: if there are any breaks in the data, the highlighted cell (the one shown at the top of the spreadsheet) will stop just before the break.</t>
  </si>
  <si>
    <t>Your Name:</t>
  </si>
  <si>
    <t>Student ID:</t>
  </si>
  <si>
    <t>3) Do the equivalent calculations for G38:H42</t>
  </si>
  <si>
    <r>
      <t xml:space="preserve">1) Calculate the % of total respondents in cells C38:C42 above. For cell F38, enter the formula </t>
    </r>
    <r>
      <rPr>
        <b/>
        <sz val="11"/>
        <color rgb="FFFF0000"/>
        <rFont val="Calibri (Body)"/>
      </rPr>
      <t>=C38/C$43*100</t>
    </r>
  </si>
  <si>
    <t>4)  How knowledgeable do respondents claim to be?</t>
  </si>
  <si>
    <t>What is the longest completion time?</t>
  </si>
  <si>
    <t>% discount for clearance</t>
  </si>
  <si>
    <t>What is the GST included in the RRP?</t>
  </si>
  <si>
    <t xml:space="preserve">    Complete the table:</t>
  </si>
  <si>
    <t>What is the Gross Margin %?</t>
  </si>
  <si>
    <t>(Income statements reported in $000s - paste into the formula bar not the actual cell, to retain formatting.)</t>
  </si>
  <si>
    <t>COGS</t>
  </si>
  <si>
    <t xml:space="preserve">     Please note: Excel is really picky about what information it needs: the apostrophes  ('Lab2'!), exclamation mark and commas are vital!</t>
  </si>
  <si>
    <t>Something to think about: Does it matter whether you use the Frequency data or Percentage data? (Don’t put both in the same chart!)</t>
  </si>
  <si>
    <r>
      <t xml:space="preserve">3) We need to remove the 'sec' (for seconds) that is in column 2. We </t>
    </r>
    <r>
      <rPr>
        <b/>
        <i/>
        <sz val="11"/>
        <color theme="1"/>
        <rFont val="Calibri"/>
        <family val="2"/>
        <scheme val="minor"/>
      </rPr>
      <t>could [BUT WE WON'T]</t>
    </r>
    <r>
      <rPr>
        <sz val="11"/>
        <color theme="1"/>
        <rFont val="Calibri"/>
        <family val="2"/>
        <scheme val="minor"/>
      </rPr>
      <t xml:space="preserve"> select the column and use Home menu &gt; Find &gt; Replace (Find=" sec", Replace =""), or we could </t>
    </r>
    <r>
      <rPr>
        <b/>
        <sz val="11"/>
        <color theme="1"/>
        <rFont val="Calibri"/>
        <family val="2"/>
        <scheme val="minor"/>
      </rPr>
      <t>Parse</t>
    </r>
    <r>
      <rPr>
        <sz val="11"/>
        <color theme="1"/>
        <rFont val="Calibri"/>
        <family val="2"/>
        <scheme val="minor"/>
      </rPr>
      <t xml:space="preserve"> the data.</t>
    </r>
  </si>
  <si>
    <t>3) Copy the formula in E110 of the SustainabilityData sheet, and paste in E111 of that sheet. Note what happens: because you have gone down a row, Excel changes the range accordingly [=COUNTIF(E6:G108,1)]</t>
  </si>
  <si>
    <t xml:space="preserve">    In the Paste Special box, select Values and Transpose.</t>
  </si>
  <si>
    <r>
      <t xml:space="preserve">4) To correct this, in E110 add $ before the row numbers  </t>
    </r>
    <r>
      <rPr>
        <b/>
        <sz val="11"/>
        <color rgb="FFFF0000"/>
        <rFont val="Calibri (Body)"/>
      </rPr>
      <t xml:space="preserve">=COUNTIF(E$5:E$108,1) </t>
    </r>
    <r>
      <rPr>
        <sz val="11"/>
        <color theme="1"/>
        <rFont val="Calibri (Body)"/>
      </rPr>
      <t>and copy and paste again to E111, and E112</t>
    </r>
  </si>
  <si>
    <r>
      <t xml:space="preserve">    Copy cells E110:E112 from the SustainabilityData-10%sample sheet, and in cell B110 below </t>
    </r>
    <r>
      <rPr>
        <b/>
        <sz val="11"/>
        <color theme="1"/>
        <rFont val="Calibri"/>
        <family val="2"/>
        <scheme val="minor"/>
      </rPr>
      <t>in this sheet</t>
    </r>
    <r>
      <rPr>
        <sz val="11"/>
        <color theme="1"/>
        <rFont val="Calibri"/>
        <family val="2"/>
        <scheme val="minor"/>
      </rPr>
      <t>, right-click and choose Paste Special &gt; and locate the Paste Special entry (</t>
    </r>
    <r>
      <rPr>
        <b/>
        <i/>
        <sz val="11"/>
        <color theme="1"/>
        <rFont val="Calibri"/>
        <family val="2"/>
        <scheme val="minor"/>
      </rPr>
      <t>not</t>
    </r>
    <r>
      <rPr>
        <sz val="11"/>
        <color theme="1"/>
        <rFont val="Calibri"/>
        <family val="2"/>
        <scheme val="minor"/>
      </rPr>
      <t xml:space="preserve"> any of the pre-formatted options)</t>
    </r>
  </si>
  <si>
    <r>
      <t xml:space="preserve">6) Copy and paste the results in the table below - but because this table is formatted differently, with rows and columns swapped around, you need to </t>
    </r>
    <r>
      <rPr>
        <b/>
        <sz val="11"/>
        <color theme="1"/>
        <rFont val="Calibri"/>
        <family val="2"/>
        <scheme val="minor"/>
      </rPr>
      <t>Paste Special (Transpose)</t>
    </r>
    <r>
      <rPr>
        <sz val="11"/>
        <color theme="1"/>
        <rFont val="Calibri"/>
        <family val="2"/>
        <scheme val="minor"/>
      </rPr>
      <t>.</t>
    </r>
  </si>
  <si>
    <t xml:space="preserve">    [Alternatively, you can simply refer from this sheet to that sheet: I have entered this for you in cell B110 of this sheet - and you can ignore the instructions in the next two lines - just copy Cell B110 and paste into C110 and D110, and update to the appropriate cells in the SustainabilityData sheet.]</t>
  </si>
  <si>
    <t>This bike is a "classic seller" for the "classic rider". It last sold for RRP $439.99</t>
  </si>
  <si>
    <t>A second model is added, a fully-suspended mountain e-bike.</t>
  </si>
  <si>
    <t>Recalculate 1.3-1.4 if the next purchase order raises the per unit acquisition cost (COGS) to $300 [formulas no longer required]</t>
  </si>
  <si>
    <t>Financial Year ending July</t>
  </si>
  <si>
    <t>115.109: Topic 1 Lab Worksheet</t>
  </si>
  <si>
    <t xml:space="preserve">     Use the following table to determine the frequencies of each response level for the two 'Subjective Knowledge' questions (columns AI, AJ and AK in the SustainabilityData sheet)</t>
  </si>
  <si>
    <t>9) Interpret the result: any unusually long or short completion times [in min]?</t>
  </si>
  <si>
    <r>
      <t xml:space="preserve">2) In cell C38 of this sheet, enter the formula: </t>
    </r>
    <r>
      <rPr>
        <b/>
        <sz val="11"/>
        <color rgb="FFFF0000"/>
        <rFont val="Calibri (Body)"/>
      </rPr>
      <t>=COUNTIF('SustainabilityData-10%sample'!AI$5:AI$108,$B38)</t>
    </r>
    <r>
      <rPr>
        <sz val="11"/>
        <color theme="1"/>
        <rFont val="Calibri"/>
        <family val="2"/>
        <scheme val="minor"/>
      </rPr>
      <t xml:space="preserve">  </t>
    </r>
    <r>
      <rPr>
        <sz val="11"/>
        <color theme="1"/>
        <rFont val="Calibri (Body)"/>
      </rPr>
      <t xml:space="preserve">[you can copy this, and paste into the </t>
    </r>
    <r>
      <rPr>
        <sz val="11"/>
        <color rgb="FFFF0000"/>
        <rFont val="Calibri (Body)"/>
      </rPr>
      <t>formula bar for that cell]</t>
    </r>
  </si>
  <si>
    <t>3) Now copy cell C38, and Paste Special &gt; Formulas into C38:E42 (select the whole range when Pasting Special) [dragging will overwrite the green and red box formatting, so don't do that!]</t>
  </si>
  <si>
    <t>2024 Annual Report financial statement:</t>
  </si>
  <si>
    <t>https://www.thewarehousegroup.co.nz/download_file/force/5a624589-60db-46c4-ae0a-c630e68b01eb/174</t>
  </si>
  <si>
    <t>Complete cells E52 to E61 based on the RRP, and G51:G61 based on the 20% discount.</t>
  </si>
  <si>
    <t>Complete cells H52:H61 based on clearance ('burn') price.</t>
  </si>
  <si>
    <t>p. 44</t>
  </si>
  <si>
    <t>(restated in 2024: use the values from 2024 report)</t>
  </si>
  <si>
    <t>{you can resize this box if you want}</t>
  </si>
  <si>
    <t xml:space="preserve">The Ministry of Business, Innovation and Employment publishes qarterly fuel prices, in cents per Litre: </t>
  </si>
  <si>
    <t>https://www.mbie.govt.nz/building-and-energy/energy-and-natural-resources/energy-statistics-and-modelling/energy-statistics/energy-prices</t>
  </si>
  <si>
    <t>The Reserve Bank publishes the Consumer Price Index going back to 1920, and we can 'inflate' historical prices to their current 'real' equivalent values.</t>
  </si>
  <si>
    <t>Petrol (c/l) regular (nominal)</t>
  </si>
  <si>
    <t>CPI Inflator</t>
  </si>
  <si>
    <t>March Year:</t>
  </si>
  <si>
    <t>{NB: your chart might be created over in columns AR onwards: cut it there, and paste it here, then resize to the space available}</t>
  </si>
  <si>
    <t>CPI Index</t>
  </si>
  <si>
    <t>What is the Gross Margin $? (GM)</t>
  </si>
  <si>
    <t xml:space="preserve"> https://www.rbnz.govt.nz/statistics/series/economic-indicators/prices</t>
  </si>
  <si>
    <t>After weak sales, Torpedo7 then decide to further reduce the price to clear ("burn") the item, and price the bike at $5099.99 (including GST)</t>
  </si>
  <si>
    <t>2025 Annual Report financial statement:</t>
  </si>
  <si>
    <t>https://www.thewarehousegroup.co.nz/download_file/force/83c5e7a5-091c-45a0-8371-f47056936994/174</t>
  </si>
  <si>
    <t>(includes 2023 info: both 52 week periods)</t>
  </si>
  <si>
    <t>p. 36</t>
  </si>
  <si>
    <t>Locate the The Warehouse Group 2024 and 2025 Income Statements: extracts available in Week 1 lecture notes</t>
  </si>
  <si>
    <r>
      <t>8) Now Select D5:D108 and press Shift+Spacebar</t>
    </r>
    <r>
      <rPr>
        <b/>
        <sz val="11"/>
        <color rgb="FFFF0000"/>
        <rFont val="Calibri (Body)"/>
      </rPr>
      <t xml:space="preserve"> to select the entire rows</t>
    </r>
    <r>
      <rPr>
        <sz val="11"/>
        <color theme="1"/>
        <rFont val="Calibri"/>
        <family val="2"/>
        <scheme val="minor"/>
      </rPr>
      <t>, then Sort by column D.</t>
    </r>
  </si>
  <si>
    <r>
      <t xml:space="preserve">Variable coding:
Response
</t>
    </r>
    <r>
      <rPr>
        <sz val="8"/>
        <color theme="1"/>
        <rFont val="Calibri (Body)"/>
      </rPr>
      <t>Respondent</t>
    </r>
    <r>
      <rPr>
        <i/>
        <sz val="8"/>
        <color rgb="FFFF0000"/>
        <rFont val="Calibri"/>
        <family val="2"/>
        <scheme val="minor"/>
      </rPr>
      <t>:</t>
    </r>
  </si>
  <si>
    <r>
      <t xml:space="preserve">7) In SustainabilityData-10%sample cell D5, enter the formula </t>
    </r>
    <r>
      <rPr>
        <b/>
        <sz val="11"/>
        <color rgb="FFFF0000"/>
        <rFont val="Calibri (Body)"/>
      </rPr>
      <t>=B5/60</t>
    </r>
    <r>
      <rPr>
        <sz val="11"/>
        <color theme="1"/>
        <rFont val="Calibri"/>
        <family val="2"/>
        <scheme val="minor"/>
      </rPr>
      <t>, to convert seconds to minutes. Format the result to have a single decimal place.</t>
    </r>
  </si>
  <si>
    <t xml:space="preserve"> </t>
  </si>
  <si>
    <r>
      <t xml:space="preserve">     Concatenation means linking together. There is the CONCAT function,  but it is simpler to use a formula. In SustainabilityData cell D5 enter the formula </t>
    </r>
    <r>
      <rPr>
        <b/>
        <sz val="11"/>
        <color rgb="FFFF0000"/>
        <rFont val="Calibri (Body)"/>
      </rPr>
      <t>=B5&amp;" "&amp;C5</t>
    </r>
  </si>
  <si>
    <r>
      <t xml:space="preserve">XLOOKUP is a powerful tool for extracting data from </t>
    </r>
    <r>
      <rPr>
        <i/>
        <sz val="11"/>
        <color theme="1"/>
        <rFont val="Calibri"/>
        <family val="2"/>
        <scheme val="minor"/>
      </rPr>
      <t>arrays</t>
    </r>
    <r>
      <rPr>
        <sz val="11"/>
        <color theme="1"/>
        <rFont val="Calibri"/>
        <family val="2"/>
        <scheme val="minor"/>
      </rPr>
      <t>(columns or rows of data). It combines the previous HLOOKUP (for rows) and VLOOKUP (for columns) into one, and can return multiple results (ie, an array).</t>
    </r>
  </si>
  <si>
    <t>1) Which response had the shortest response time? You could look at the sorted data and figure out which row and therefore lookup the response ID, or use the XLOOKUP formula.</t>
  </si>
  <si>
    <r>
      <t xml:space="preserve">2) In cell E110 </t>
    </r>
    <r>
      <rPr>
        <b/>
        <sz val="11"/>
        <color theme="1"/>
        <rFont val="Calibri"/>
        <family val="2"/>
        <scheme val="minor"/>
      </rPr>
      <t>of the SustainabilityData-10%sample sheet</t>
    </r>
    <r>
      <rPr>
        <sz val="11"/>
        <color theme="1"/>
        <rFont val="Calibri"/>
        <family val="2"/>
        <scheme val="minor"/>
      </rPr>
      <t xml:space="preserve">, enter the formula </t>
    </r>
    <r>
      <rPr>
        <b/>
        <sz val="11"/>
        <color rgb="FFFF0000"/>
        <rFont val="Calibri (Body)"/>
      </rPr>
      <t>=COUNTIF(E5:E108,1)</t>
    </r>
    <r>
      <rPr>
        <sz val="11"/>
        <color theme="1"/>
        <rFont val="Calibri"/>
        <family val="2"/>
        <scheme val="minor"/>
      </rPr>
      <t>, which counts how many cells in the range above contain a "1".</t>
    </r>
  </si>
  <si>
    <t xml:space="preserve">     The $ anchors a cell reference: in front of a letter, it fixes the column; in front of a number, it fixes the row. (You can fix both at the same time if you wish: $E$5)</t>
  </si>
  <si>
    <t>5) Now change the ,1) in the E111 formula to ,2); and in E112 to ,3), to find how many 2s and 3s there are.</t>
  </si>
  <si>
    <t>7) Now do the same for columns H, I and J of the SustainabilityData-10%sample sheet. These are 'dummy' variables, where the answer options are either selected or not. In column H this is a 2 (if seelcted) or blank; in column I a 3 or blank; in column J a 4 or blank.</t>
  </si>
  <si>
    <t>Xlookup: shortest time</t>
  </si>
  <si>
    <t>2) The function uses a 'lookup_value' {in our case, the shortest time}, a 'lookup_array' {the data it compares that value to: cells D5:D108}, and a 'return_array' {the value we want: the corresponding response ID in cells A5:A108}</t>
  </si>
  <si>
    <r>
      <t xml:space="preserve">3) First find the shortest time, and enter this into cell C117 of the SustainabilityData-10%sample sheet. You can enter the value itself from the sorted data, or use the formula </t>
    </r>
    <r>
      <rPr>
        <sz val="11"/>
        <color rgb="FFFF0000"/>
        <rFont val="Calibri (Body)"/>
      </rPr>
      <t>=min(D5:D108)</t>
    </r>
  </si>
  <si>
    <r>
      <t xml:space="preserve">4) Then in cell D117 type the following formula: </t>
    </r>
    <r>
      <rPr>
        <b/>
        <sz val="11"/>
        <color rgb="FFFF0000"/>
        <rFont val="Calibri (Body)"/>
      </rPr>
      <t>=XLOOKUP(C117,D5:D108,A5:A108)</t>
    </r>
    <r>
      <rPr>
        <sz val="11"/>
        <color theme="1"/>
        <rFont val="Calibri"/>
        <family val="2"/>
        <scheme val="minor"/>
      </rPr>
      <t xml:space="preserve"> </t>
    </r>
    <r>
      <rPr>
        <sz val="11"/>
        <color theme="1"/>
        <rFont val="Calibri (Body)"/>
      </rPr>
      <t>and copy the result here:</t>
    </r>
  </si>
  <si>
    <t>{NB: The lookup_value could be a fixed value, rather than the cell reference shown above, but in general it is best to avoid fixed values in formulas.}</t>
  </si>
  <si>
    <t>Task 5: Using the "SustainabilityData-10%sample" datasheet, get frequencies of some demographic data using COUNTIF</t>
  </si>
  <si>
    <t>Interpret the table: what improved, and did not, between 2023-2024, and 2024-2025?</t>
  </si>
  <si>
    <t>minutes</t>
  </si>
  <si>
    <t>I have not used any AI tools or technologies to prepare this assessment</t>
  </si>
  <si>
    <t>OR</t>
  </si>
  <si>
    <t>I acknowledge the use of [AI tool or technology name and link] to generate [summary of what was generated]:</t>
  </si>
  <si>
    <t>AI Declaration for Lab 1:</t>
  </si>
  <si>
    <t>(tick one)</t>
  </si>
  <si>
    <t>AI Declaration for Lab 2:</t>
  </si>
  <si>
    <t>Task 4: Use XLOOKUP to find the respondent with the shortest time</t>
  </si>
  <si>
    <t>(Enter response number only in Red Box Quiz: drop the leading P}</t>
  </si>
  <si>
    <t>We created the table in Lab 1 (Task 5 Step 6), so generate a Pie Chart from that table, and cut and paste below (to shift it to this sheet)</t>
  </si>
  <si>
    <t>Version: 1 (09.07)</t>
  </si>
  <si>
    <t>Due date: August 3</t>
  </si>
  <si>
    <t/>
  </si>
  <si>
    <t>With such a long time series (something we will return to in Topic 11), there has been a lot of inflation along the way, so we can't just look at (nominal) prices at the time (eg 12.3 c/L in March 1974 vs 269.8 in March 2026)</t>
  </si>
  <si>
    <r>
      <t>6.1: In the following data series, complete the CPI inflator series (E131:BB131), by continuing the pattern on from B131:D131.</t>
    </r>
    <r>
      <rPr>
        <sz val="9"/>
        <color theme="1"/>
        <rFont val="Calibri (Body)"/>
      </rPr>
      <t xml:space="preserve"> {How: select B131:D131, then  drag the bottom-right corner drag handle across to BB131}</t>
    </r>
  </si>
  <si>
    <t>NB: the lines should converge over time, and be the same at March 2026. I show a version of this chart in the Topic 2 lecture</t>
  </si>
  <si>
    <t>Bonus Task 6: Create a Line Chart of the quarterly price of petrol from 1974 to 2026, in nominal and real prices</t>
  </si>
  <si>
    <t>Petrol (c/l) (real: inflated)</t>
  </si>
  <si>
    <t>Petrol (c/l) (real: MBIE)</t>
  </si>
  <si>
    <t>6.3: Insert Line Chart here for bonus marks: include all three data series in rows 127 and 129</t>
  </si>
  <si>
    <t>6.2: Then complete the Real (inflated) petrol price (E129:BB129), and construct a Line chart of the real (inflated) and nominal petrol prices from 1974 to 2026</t>
  </si>
  <si>
    <t>How? Create a chart with all three data series, then select the real: MBIE series (should be series 2) and delete/remove it (click the minus under Chart Design &gt; Select Data, or click on the chart series you want to remove and press the Delete key</t>
  </si>
  <si>
    <t xml:space="preserve">Then edit the X axis so that it shows either just the year, or month-year FOR MARCH (it will likely default to January, which is wrong) </t>
  </si>
  <si>
    <t>=((439.99 * 0.15) / 1.15)</t>
  </si>
  <si>
    <t>=(439.99/1.15)</t>
  </si>
  <si>
    <t>=(E20 - E23)</t>
  </si>
  <si>
    <t>=((E24 / E20) * 100)</t>
  </si>
  <si>
    <t>sec</t>
  </si>
  <si>
    <t>Savnit Prasad</t>
  </si>
  <si>
    <t>Answer: The pie chart looks the same, except the values will be shown differently based on what the user has chosen (percentage or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</si>
</sst>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164" formatCode="&quot;$&quot;#,##0;[Red]\-&quot;$&quot;#,##0"/>
    <numFmt numFmtId="165" formatCode="&quot;$&quot;#,##0.00;[Red]\-&quot;$&quot;#,##0.00"/>
    <numFmt numFmtId="166" formatCode="0.0"/>
    <numFmt numFmtId="167" formatCode="0.0%"/>
    <numFmt numFmtId="168" formatCode="&quot;$&quot;#,##0.00"/>
    <numFmt numFmtId="169" formatCode="#,##0.0;[Red]\(#,##0.0\)"/>
    <numFmt numFmtId="170" formatCode="#,##0;[Red]\(#,##0\)"/>
    <numFmt numFmtId="171" formatCode="#,##0;\(#,##0\)"/>
    <numFmt numFmtId="172" formatCode="#,##0.00_ ;\-#,##0.00\ "/>
    <numFmt numFmtId="173" formatCode="0.000"/>
  </numFmts>
  <fonts count="5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u/>
      <sz val="11"/>
      <color theme="10"/>
      <name val="Calibri"/>
      <family val="2"/>
      <scheme val="minor"/>
    </font>
    <font>
      <u/>
      <sz val="11"/>
      <color theme="11"/>
      <name val="Calibri"/>
      <family val="2"/>
      <scheme val="minor"/>
    </font>
    <font>
      <b/>
      <sz val="18"/>
      <color rgb="FF000000"/>
      <name val="Calibri"/>
      <family val="2"/>
      <scheme val="minor"/>
    </font>
    <font>
      <sz val="12"/>
      <color rgb="FF000000"/>
      <name val="Calibri"/>
      <family val="2"/>
      <scheme val="minor"/>
    </font>
    <font>
      <sz val="11"/>
      <color rgb="FFFF0000"/>
      <name val="Calibri"/>
      <family val="2"/>
      <scheme val="minor"/>
    </font>
    <font>
      <i/>
      <sz val="9"/>
      <color theme="1"/>
      <name val="Calibri"/>
      <family val="2"/>
      <scheme val="minor"/>
    </font>
    <font>
      <i/>
      <sz val="8"/>
      <color theme="1"/>
      <name val="Calibri"/>
      <family val="2"/>
      <scheme val="minor"/>
    </font>
    <font>
      <i/>
      <sz val="11"/>
      <color theme="1"/>
      <name val="Calibri"/>
      <family val="2"/>
      <scheme val="minor"/>
    </font>
    <font>
      <b/>
      <sz val="10"/>
      <name val="Calibri"/>
      <family val="2"/>
      <scheme val="minor"/>
    </font>
    <font>
      <sz val="10"/>
      <name val="Calibri"/>
      <family val="2"/>
      <scheme val="minor"/>
    </font>
    <font>
      <i/>
      <sz val="10"/>
      <name val="Calibri"/>
      <family val="2"/>
      <scheme val="minor"/>
    </font>
    <font>
      <b/>
      <sz val="10"/>
      <color theme="1"/>
      <name val="Calibri"/>
      <family val="2"/>
      <scheme val="minor"/>
    </font>
    <font>
      <b/>
      <sz val="8"/>
      <color rgb="FFFF0000"/>
      <name val="Calibri"/>
      <family val="2"/>
      <scheme val="minor"/>
    </font>
    <font>
      <b/>
      <sz val="10"/>
      <color rgb="FF000000"/>
      <name val="Tahoma"/>
      <family val="2"/>
    </font>
    <font>
      <sz val="10"/>
      <color rgb="FF000000"/>
      <name val="Tahoma"/>
      <family val="2"/>
    </font>
    <font>
      <b/>
      <sz val="9"/>
      <color rgb="FF000000"/>
      <name val="Tahoma"/>
      <family val="2"/>
    </font>
    <font>
      <sz val="9"/>
      <color rgb="FF000000"/>
      <name val="Tahoma"/>
      <family val="2"/>
    </font>
    <font>
      <sz val="9"/>
      <color theme="1"/>
      <name val="Calibri"/>
      <family val="2"/>
      <scheme val="minor"/>
    </font>
    <font>
      <sz val="11"/>
      <color rgb="FF000000"/>
      <name val="Calibri"/>
      <family val="2"/>
      <scheme val="minor"/>
    </font>
    <font>
      <sz val="10"/>
      <color theme="1"/>
      <name val="Calibri"/>
      <family val="2"/>
      <scheme val="minor"/>
    </font>
    <font>
      <b/>
      <sz val="11"/>
      <color rgb="FFFF0000"/>
      <name val="Calibri (Body)"/>
    </font>
    <font>
      <b/>
      <sz val="10"/>
      <color rgb="FFFF0000"/>
      <name val="Tahoma"/>
      <family val="2"/>
    </font>
    <font>
      <sz val="11"/>
      <color theme="1"/>
      <name val="Calibri (Body)"/>
    </font>
    <font>
      <b/>
      <i/>
      <sz val="11"/>
      <color theme="1"/>
      <name val="Calibri"/>
      <family val="2"/>
      <scheme val="minor"/>
    </font>
    <font>
      <b/>
      <sz val="9"/>
      <color theme="1"/>
      <name val="Calibri"/>
      <family val="2"/>
      <scheme val="minor"/>
    </font>
    <font>
      <i/>
      <sz val="12"/>
      <color theme="1"/>
      <name val="Calibri"/>
      <family val="2"/>
      <scheme val="minor"/>
    </font>
    <font>
      <sz val="18"/>
      <color rgb="FF000000"/>
      <name val="Calibri"/>
      <family val="2"/>
    </font>
    <font>
      <sz val="10"/>
      <color rgb="FF000000"/>
      <name val="Calibri"/>
      <family val="2"/>
    </font>
    <font>
      <b/>
      <sz val="10"/>
      <color rgb="FFFF0000"/>
      <name val="Calibri"/>
      <family val="2"/>
    </font>
    <font>
      <sz val="11"/>
      <color rgb="FF000000"/>
      <name val="Calibri"/>
      <family val="2"/>
    </font>
    <font>
      <sz val="8"/>
      <color theme="1"/>
      <name val="Calibri"/>
      <family val="2"/>
      <scheme val="minor"/>
    </font>
    <font>
      <i/>
      <sz val="10"/>
      <color theme="1"/>
      <name val="Calibri"/>
      <family val="2"/>
      <scheme val="minor"/>
    </font>
    <font>
      <i/>
      <sz val="8"/>
      <color rgb="FFFF0000"/>
      <name val="Calibri"/>
      <family val="2"/>
      <scheme val="minor"/>
    </font>
    <font>
      <sz val="8"/>
      <color theme="1"/>
      <name val="Calibri (Body)"/>
    </font>
    <font>
      <sz val="10"/>
      <color rgb="FF000000"/>
      <name val="Calibri"/>
      <family val="2"/>
      <scheme val="minor"/>
    </font>
    <font>
      <sz val="9"/>
      <color rgb="FF000000"/>
      <name val="Calibri"/>
      <family val="2"/>
    </font>
    <font>
      <sz val="8"/>
      <name val="Calibri"/>
      <family val="2"/>
      <scheme val="minor"/>
    </font>
    <font>
      <sz val="8"/>
      <color rgb="FFFF0000"/>
      <name val="Calibri"/>
      <family val="2"/>
      <scheme val="minor"/>
    </font>
    <font>
      <sz val="11"/>
      <name val="Calibri"/>
      <family val="2"/>
      <scheme val="minor"/>
    </font>
    <font>
      <sz val="11"/>
      <color theme="0"/>
      <name val="Calibri"/>
      <family val="2"/>
      <scheme val="minor"/>
    </font>
    <font>
      <sz val="10"/>
      <color theme="0"/>
      <name val="Calibri"/>
      <family val="2"/>
      <scheme val="minor"/>
    </font>
    <font>
      <sz val="9"/>
      <color rgb="FF000000"/>
      <name val="Calibri"/>
      <family val="2"/>
      <scheme val="minor"/>
    </font>
    <font>
      <sz val="11"/>
      <color rgb="FFFF0000"/>
      <name val="Calibri (Body)"/>
    </font>
    <font>
      <i/>
      <sz val="7"/>
      <name val="Calibri"/>
      <family val="2"/>
      <scheme val="minor"/>
    </font>
    <font>
      <b/>
      <sz val="12"/>
      <color rgb="FF000000"/>
      <name val="Calibri"/>
      <family val="2"/>
      <scheme val="minor"/>
    </font>
    <font>
      <i/>
      <sz val="11"/>
      <color rgb="FF000000"/>
      <name val="Calibri"/>
      <family val="2"/>
      <scheme val="minor"/>
    </font>
    <font>
      <b/>
      <sz val="11"/>
      <name val="Calibri"/>
      <family val="2"/>
      <scheme val="minor"/>
    </font>
    <font>
      <sz val="9"/>
      <color theme="1"/>
      <name val="Calibri (Body)"/>
    </font>
    <font>
      <sz val="16"/>
      <color rgb="FFFF0000"/>
      <name val="Calibri"/>
      <family val="2"/>
      <scheme val="minor"/>
    </font>
    <font>
      <sz val="16"/>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FDB913"/>
        <bgColor indexed="64"/>
      </patternFill>
    </fill>
    <fill>
      <patternFill patternType="solid">
        <fgColor rgb="FFFFC000"/>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FF00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CD5B4"/>
        <bgColor rgb="FF000000"/>
      </patternFill>
    </fill>
    <fill>
      <patternFill patternType="solid">
        <fgColor theme="0"/>
        <bgColor indexed="64"/>
      </patternFill>
    </fill>
  </fills>
  <borders count="30">
    <border>
      <left/>
      <right/>
      <top/>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thin">
        <color auto="1"/>
      </bottom>
      <diagonal/>
    </border>
    <border>
      <left style="double">
        <color auto="1"/>
      </left>
      <right style="double">
        <color auto="1"/>
      </right>
      <top/>
      <bottom/>
      <diagonal/>
    </border>
    <border>
      <left/>
      <right style="medium">
        <color auto="1"/>
      </right>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style="medium">
        <color auto="1"/>
      </right>
      <top/>
      <bottom/>
      <diagonal/>
    </border>
    <border>
      <left style="medium">
        <color auto="1"/>
      </left>
      <right/>
      <top/>
      <bottom/>
      <diagonal/>
    </border>
    <border>
      <left/>
      <right style="medium">
        <color auto="1"/>
      </right>
      <top style="medium">
        <color auto="1"/>
      </top>
      <bottom/>
      <diagonal/>
    </border>
    <border>
      <left/>
      <right/>
      <top style="medium">
        <color auto="1"/>
      </top>
      <bottom/>
      <diagonal/>
    </border>
    <border>
      <left style="medium">
        <color auto="1"/>
      </left>
      <right style="medium">
        <color auto="1"/>
      </right>
      <top style="medium">
        <color auto="1"/>
      </top>
      <bottom/>
      <diagonal/>
    </border>
    <border>
      <left style="medium">
        <color auto="1"/>
      </left>
      <right/>
      <top style="medium">
        <color auto="1"/>
      </top>
      <bottom/>
      <diagonal/>
    </border>
    <border>
      <left style="double">
        <color auto="1"/>
      </left>
      <right style="double">
        <color auto="1"/>
      </right>
      <top style="double">
        <color auto="1"/>
      </top>
      <bottom style="thin">
        <color indexed="64"/>
      </bottom>
      <diagonal/>
    </border>
    <border>
      <left style="thin">
        <color auto="1"/>
      </left>
      <right style="thin">
        <color auto="1"/>
      </right>
      <top style="thin">
        <color auto="1"/>
      </top>
      <bottom style="thin">
        <color rgb="FFFF0000"/>
      </bottom>
      <diagonal/>
    </border>
    <border>
      <left/>
      <right/>
      <top style="thin">
        <color rgb="FFFF0000"/>
      </top>
      <bottom/>
      <diagonal/>
    </border>
    <border>
      <left style="thin">
        <color rgb="FFFF0000"/>
      </left>
      <right/>
      <top/>
      <bottom/>
      <diagonal/>
    </border>
    <border>
      <left style="thin">
        <color rgb="FFFF0000"/>
      </left>
      <right/>
      <top/>
      <bottom style="thin">
        <color rgb="FFFF0000"/>
      </bottom>
      <diagonal/>
    </border>
    <border>
      <left style="thin">
        <color rgb="FFFF0000"/>
      </left>
      <right/>
      <top style="thin">
        <color rgb="FFFF0000"/>
      </top>
      <bottom/>
      <diagonal/>
    </border>
    <border>
      <left style="thin">
        <color rgb="FFFF0000"/>
      </left>
      <right style="thin">
        <color rgb="FFFF0000"/>
      </right>
      <top style="thin">
        <color rgb="FFFF0000"/>
      </top>
      <bottom style="thin">
        <color rgb="FFFF0000"/>
      </bottom>
      <diagonal/>
    </border>
    <border>
      <left style="thin">
        <color auto="1"/>
      </left>
      <right/>
      <top/>
      <bottom/>
      <diagonal/>
    </border>
    <border>
      <left/>
      <right style="thin">
        <color rgb="FFFF0000"/>
      </right>
      <top/>
      <bottom style="thin">
        <color rgb="FFFF0000"/>
      </bottom>
      <diagonal/>
    </border>
    <border>
      <left/>
      <right style="thin">
        <color rgb="FFFF0000"/>
      </right>
      <top style="thin">
        <color rgb="FFFF0000"/>
      </top>
      <bottom/>
      <diagonal/>
    </border>
    <border>
      <left style="thin">
        <color indexed="64"/>
      </left>
      <right/>
      <top style="thin">
        <color rgb="FFFF0000"/>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theme="1"/>
      </left>
      <right style="thin">
        <color theme="1"/>
      </right>
      <top style="thin">
        <color theme="1"/>
      </top>
      <bottom style="thin">
        <color theme="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227">
    <xf numFmtId="0" fontId="0" fillId="0" borderId="0"/>
    <xf numFmtId="9" fontId="5" fillId="0" borderId="0" applyFon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5" fillId="0" borderId="0"/>
    <xf numFmtId="0" fontId="4" fillId="0" borderId="0"/>
    <xf numFmtId="0" fontId="3" fillId="0" borderId="0"/>
    <xf numFmtId="0" fontId="2" fillId="0" borderId="0"/>
  </cellStyleXfs>
  <cellXfs count="153">
    <xf numFmtId="0" fontId="0" fillId="0" borderId="0" xfId="0"/>
    <xf numFmtId="0" fontId="0" fillId="0" borderId="0" xfId="0" applyAlignment="1">
      <alignment horizontal="right"/>
    </xf>
    <xf numFmtId="0" fontId="7" fillId="0" borderId="0" xfId="0" applyFont="1"/>
    <xf numFmtId="0" fontId="11" fillId="0" borderId="0" xfId="0" applyFont="1"/>
    <xf numFmtId="164" fontId="0" fillId="0" borderId="0" xfId="0" applyNumberFormat="1"/>
    <xf numFmtId="0" fontId="9" fillId="0" borderId="0" xfId="222"/>
    <xf numFmtId="8" fontId="0" fillId="0" borderId="0" xfId="0" applyNumberFormat="1"/>
    <xf numFmtId="0" fontId="0" fillId="0" borderId="3" xfId="0" applyBorder="1"/>
    <xf numFmtId="1" fontId="0" fillId="0" borderId="2" xfId="0" applyNumberFormat="1" applyBorder="1" applyAlignment="1">
      <alignment horizontal="right"/>
    </xf>
    <xf numFmtId="0" fontId="6" fillId="0" borderId="2" xfId="0" applyFont="1" applyBorder="1" applyAlignment="1">
      <alignment wrapText="1"/>
    </xf>
    <xf numFmtId="0" fontId="0" fillId="2" borderId="0" xfId="0" applyFill="1"/>
    <xf numFmtId="166" fontId="0" fillId="0" borderId="0" xfId="0" applyNumberFormat="1"/>
    <xf numFmtId="0" fontId="13" fillId="0" borderId="0" xfId="0" applyFont="1"/>
    <xf numFmtId="0" fontId="6" fillId="0" borderId="0" xfId="0" applyFont="1"/>
    <xf numFmtId="0" fontId="14" fillId="0" borderId="0" xfId="0" applyFont="1"/>
    <xf numFmtId="0" fontId="15" fillId="0" borderId="0" xfId="0" applyFont="1"/>
    <xf numFmtId="0" fontId="18" fillId="0" borderId="0" xfId="0" applyFont="1" applyAlignment="1">
      <alignment vertical="center"/>
    </xf>
    <xf numFmtId="167" fontId="18" fillId="0" borderId="6" xfId="1" applyNumberFormat="1" applyFont="1" applyBorder="1" applyAlignment="1">
      <alignment vertical="center"/>
    </xf>
    <xf numFmtId="167" fontId="18" fillId="0" borderId="9" xfId="1" applyNumberFormat="1" applyFont="1" applyBorder="1" applyAlignment="1">
      <alignment vertical="center"/>
    </xf>
    <xf numFmtId="167" fontId="18" fillId="0" borderId="10" xfId="1" applyNumberFormat="1" applyFont="1" applyBorder="1" applyAlignment="1">
      <alignment vertical="center"/>
    </xf>
    <xf numFmtId="0" fontId="18" fillId="0" borderId="0" xfId="0" applyFont="1" applyAlignment="1">
      <alignment horizontal="center" vertical="center"/>
    </xf>
    <xf numFmtId="17" fontId="17" fillId="0" borderId="0" xfId="0" applyNumberFormat="1" applyFont="1" applyAlignment="1">
      <alignment vertical="center"/>
    </xf>
    <xf numFmtId="0" fontId="18" fillId="4" borderId="0" xfId="0" applyFont="1" applyFill="1" applyAlignment="1">
      <alignment horizontal="center" vertical="center"/>
    </xf>
    <xf numFmtId="0" fontId="20" fillId="4" borderId="0" xfId="0" applyFont="1" applyFill="1" applyAlignment="1">
      <alignment vertical="center"/>
    </xf>
    <xf numFmtId="0" fontId="21" fillId="2" borderId="0" xfId="0" quotePrefix="1" applyFont="1" applyFill="1"/>
    <xf numFmtId="0" fontId="26" fillId="0" borderId="0" xfId="0" applyFont="1" applyAlignment="1">
      <alignment horizontal="right"/>
    </xf>
    <xf numFmtId="0" fontId="16" fillId="0" borderId="0" xfId="0" applyFont="1"/>
    <xf numFmtId="0" fontId="0" fillId="0" borderId="2" xfId="0" quotePrefix="1" applyBorder="1"/>
    <xf numFmtId="0" fontId="12" fillId="0" borderId="2" xfId="0" quotePrefix="1" applyFont="1" applyBorder="1"/>
    <xf numFmtId="166" fontId="0" fillId="0" borderId="1" xfId="0" applyNumberFormat="1" applyBorder="1"/>
    <xf numFmtId="165" fontId="0" fillId="0" borderId="0" xfId="0" applyNumberFormat="1"/>
    <xf numFmtId="8" fontId="0" fillId="0" borderId="1" xfId="0" applyNumberFormat="1" applyBorder="1"/>
    <xf numFmtId="0" fontId="0" fillId="0" borderId="0" xfId="0" applyAlignment="1">
      <alignment horizontal="left"/>
    </xf>
    <xf numFmtId="166" fontId="0" fillId="0" borderId="15" xfId="0" applyNumberFormat="1" applyBorder="1"/>
    <xf numFmtId="0" fontId="28" fillId="0" borderId="0" xfId="223" applyFont="1" applyAlignment="1">
      <alignment wrapText="1"/>
    </xf>
    <xf numFmtId="0" fontId="4" fillId="0" borderId="0" xfId="0" applyFont="1"/>
    <xf numFmtId="0" fontId="28" fillId="0" borderId="0" xfId="0" applyFont="1"/>
    <xf numFmtId="0" fontId="4" fillId="0" borderId="2" xfId="224" applyBorder="1"/>
    <xf numFmtId="0" fontId="6" fillId="0" borderId="2" xfId="0" applyFont="1" applyBorder="1" applyAlignment="1">
      <alignment horizontal="right"/>
    </xf>
    <xf numFmtId="0" fontId="0" fillId="0" borderId="2" xfId="0" applyBorder="1" applyAlignment="1">
      <alignment horizontal="center"/>
    </xf>
    <xf numFmtId="0" fontId="0" fillId="0" borderId="0" xfId="0" applyAlignment="1">
      <alignment horizontal="center"/>
    </xf>
    <xf numFmtId="1" fontId="0" fillId="0" borderId="0" xfId="0" applyNumberFormat="1" applyAlignment="1">
      <alignment horizontal="right"/>
    </xf>
    <xf numFmtId="0" fontId="33" fillId="0" borderId="2" xfId="0" applyFont="1" applyBorder="1" applyAlignment="1">
      <alignment horizontal="right" wrapText="1"/>
    </xf>
    <xf numFmtId="0" fontId="27" fillId="0" borderId="0" xfId="0" applyFont="1"/>
    <xf numFmtId="0" fontId="26" fillId="0" borderId="0" xfId="0" applyFont="1"/>
    <xf numFmtId="0" fontId="33" fillId="0" borderId="0" xfId="0" applyFont="1"/>
    <xf numFmtId="0" fontId="16" fillId="0" borderId="0" xfId="0" applyFont="1" applyAlignment="1">
      <alignment horizontal="right"/>
    </xf>
    <xf numFmtId="166" fontId="34" fillId="0" borderId="2" xfId="224" applyNumberFormat="1" applyFont="1" applyBorder="1"/>
    <xf numFmtId="0" fontId="34" fillId="0" borderId="2" xfId="224" applyFont="1" applyBorder="1"/>
    <xf numFmtId="0" fontId="5" fillId="0" borderId="0" xfId="223"/>
    <xf numFmtId="0" fontId="5" fillId="0" borderId="17" xfId="223" applyBorder="1"/>
    <xf numFmtId="0" fontId="5" fillId="0" borderId="18" xfId="223" applyBorder="1"/>
    <xf numFmtId="0" fontId="5" fillId="0" borderId="0" xfId="223" applyAlignment="1">
      <alignment horizontal="right"/>
    </xf>
    <xf numFmtId="0" fontId="5" fillId="0" borderId="19" xfId="223" applyBorder="1"/>
    <xf numFmtId="0" fontId="5" fillId="0" borderId="20" xfId="223" applyBorder="1"/>
    <xf numFmtId="0" fontId="5" fillId="0" borderId="17" xfId="223" applyBorder="1" applyAlignment="1">
      <alignment horizontal="right"/>
    </xf>
    <xf numFmtId="0" fontId="26" fillId="0" borderId="0" xfId="223" applyFont="1"/>
    <xf numFmtId="0" fontId="40" fillId="0" borderId="0" xfId="223" applyFont="1" applyAlignment="1">
      <alignment wrapText="1"/>
    </xf>
    <xf numFmtId="0" fontId="5" fillId="0" borderId="0" xfId="223" applyAlignment="1">
      <alignment vertical="top"/>
    </xf>
    <xf numFmtId="0" fontId="39" fillId="0" borderId="0" xfId="223" applyFont="1" applyAlignment="1">
      <alignment vertical="top" wrapText="1"/>
    </xf>
    <xf numFmtId="0" fontId="41" fillId="0" borderId="0" xfId="223" applyFont="1" applyAlignment="1">
      <alignment vertical="top" wrapText="1"/>
    </xf>
    <xf numFmtId="0" fontId="26" fillId="0" borderId="0" xfId="223" applyFont="1" applyAlignment="1">
      <alignment wrapText="1"/>
    </xf>
    <xf numFmtId="0" fontId="14" fillId="0" borderId="0" xfId="223" applyFont="1"/>
    <xf numFmtId="0" fontId="5" fillId="5" borderId="0" xfId="223" applyFill="1"/>
    <xf numFmtId="0" fontId="16" fillId="0" borderId="0" xfId="223" applyFont="1"/>
    <xf numFmtId="0" fontId="18" fillId="0" borderId="0" xfId="0" applyFont="1" applyAlignment="1">
      <alignment horizontal="left" vertical="center"/>
    </xf>
    <xf numFmtId="0" fontId="5" fillId="0" borderId="21" xfId="223" applyBorder="1"/>
    <xf numFmtId="0" fontId="5" fillId="0" borderId="22" xfId="223" applyBorder="1" applyAlignment="1">
      <alignment horizontal="right"/>
    </xf>
    <xf numFmtId="0" fontId="5" fillId="0" borderId="23" xfId="223" applyBorder="1"/>
    <xf numFmtId="0" fontId="5" fillId="0" borderId="24" xfId="223" applyBorder="1"/>
    <xf numFmtId="0" fontId="5" fillId="0" borderId="25" xfId="223" applyBorder="1" applyAlignment="1">
      <alignment horizontal="right"/>
    </xf>
    <xf numFmtId="0" fontId="2" fillId="0" borderId="0" xfId="226"/>
    <xf numFmtId="0" fontId="38" fillId="0" borderId="0" xfId="226" applyFont="1"/>
    <xf numFmtId="0" fontId="39" fillId="2" borderId="0" xfId="223" applyFont="1" applyFill="1" applyAlignment="1">
      <alignment vertical="top" wrapText="1"/>
    </xf>
    <xf numFmtId="0" fontId="5" fillId="6" borderId="0" xfId="223" applyFill="1"/>
    <xf numFmtId="0" fontId="5" fillId="7" borderId="0" xfId="223" applyFill="1"/>
    <xf numFmtId="0" fontId="2" fillId="0" borderId="0" xfId="0" applyFont="1"/>
    <xf numFmtId="166" fontId="0" fillId="0" borderId="16" xfId="0" applyNumberFormat="1" applyBorder="1"/>
    <xf numFmtId="0" fontId="46" fillId="0" borderId="0" xfId="0" applyFont="1"/>
    <xf numFmtId="0" fontId="45" fillId="0" borderId="26" xfId="0" applyFont="1" applyBorder="1" applyAlignment="1">
      <alignment horizontal="left"/>
    </xf>
    <xf numFmtId="0" fontId="45" fillId="0" borderId="27" xfId="0" applyFont="1" applyBorder="1" applyAlignment="1">
      <alignment horizontal="center"/>
    </xf>
    <xf numFmtId="2" fontId="0" fillId="0" borderId="0" xfId="0" applyNumberFormat="1"/>
    <xf numFmtId="0" fontId="48" fillId="8" borderId="0" xfId="0" applyFont="1" applyFill="1" applyAlignment="1">
      <alignment horizontal="right"/>
    </xf>
    <xf numFmtId="2" fontId="48" fillId="8" borderId="0" xfId="0" applyNumberFormat="1" applyFont="1" applyFill="1" applyAlignment="1">
      <alignment horizontal="right"/>
    </xf>
    <xf numFmtId="166" fontId="48" fillId="8" borderId="0" xfId="0" applyNumberFormat="1" applyFont="1" applyFill="1" applyAlignment="1">
      <alignment horizontal="right"/>
    </xf>
    <xf numFmtId="168" fontId="48" fillId="8" borderId="0" xfId="0" applyNumberFormat="1" applyFont="1" applyFill="1" applyAlignment="1">
      <alignment horizontal="right"/>
    </xf>
    <xf numFmtId="169" fontId="18" fillId="3" borderId="12" xfId="0" applyNumberFormat="1" applyFont="1" applyFill="1" applyBorder="1" applyAlignment="1">
      <alignment horizontal="right" vertical="center"/>
    </xf>
    <xf numFmtId="169" fontId="18" fillId="3" borderId="0" xfId="0" applyNumberFormat="1" applyFont="1" applyFill="1" applyAlignment="1">
      <alignment horizontal="right" vertical="center"/>
    </xf>
    <xf numFmtId="167" fontId="18" fillId="3" borderId="0" xfId="1" applyNumberFormat="1" applyFont="1" applyFill="1" applyAlignment="1">
      <alignment horizontal="right" vertical="center"/>
    </xf>
    <xf numFmtId="167" fontId="19" fillId="3" borderId="0" xfId="1" applyNumberFormat="1" applyFont="1" applyFill="1" applyAlignment="1">
      <alignment vertical="center"/>
    </xf>
    <xf numFmtId="167" fontId="19" fillId="3" borderId="0" xfId="1" applyNumberFormat="1" applyFont="1" applyFill="1" applyBorder="1" applyAlignment="1">
      <alignment vertical="center"/>
    </xf>
    <xf numFmtId="167" fontId="19" fillId="3" borderId="8" xfId="1" applyNumberFormat="1" applyFont="1" applyFill="1" applyBorder="1" applyAlignment="1">
      <alignment vertical="center"/>
    </xf>
    <xf numFmtId="167" fontId="18" fillId="3" borderId="5" xfId="1" applyNumberFormat="1" applyFont="1" applyFill="1" applyBorder="1" applyAlignment="1">
      <alignment horizontal="right" vertical="center"/>
    </xf>
    <xf numFmtId="167" fontId="19" fillId="3" borderId="5" xfId="1" applyNumberFormat="1" applyFont="1" applyFill="1" applyBorder="1" applyAlignment="1">
      <alignment vertical="center"/>
    </xf>
    <xf numFmtId="167" fontId="19" fillId="3" borderId="4" xfId="1" applyNumberFormat="1" applyFont="1" applyFill="1" applyBorder="1" applyAlignment="1">
      <alignment vertical="center"/>
    </xf>
    <xf numFmtId="167" fontId="19" fillId="3" borderId="12" xfId="1" applyNumberFormat="1" applyFont="1" applyFill="1" applyBorder="1" applyAlignment="1">
      <alignment vertical="center"/>
    </xf>
    <xf numFmtId="167" fontId="19" fillId="3" borderId="11" xfId="1" applyNumberFormat="1" applyFont="1" applyFill="1" applyBorder="1" applyAlignment="1">
      <alignment vertical="center"/>
    </xf>
    <xf numFmtId="167" fontId="28" fillId="0" borderId="6" xfId="1" applyNumberFormat="1" applyFont="1" applyBorder="1" applyAlignment="1">
      <alignment horizontal="right"/>
    </xf>
    <xf numFmtId="167" fontId="49" fillId="8" borderId="7" xfId="1" applyNumberFormat="1" applyFont="1" applyFill="1" applyBorder="1" applyAlignment="1">
      <alignment horizontal="right" vertical="center"/>
    </xf>
    <xf numFmtId="2" fontId="47" fillId="2" borderId="2" xfId="0" applyNumberFormat="1" applyFont="1" applyFill="1" applyBorder="1" applyAlignment="1">
      <alignment horizontal="right"/>
    </xf>
    <xf numFmtId="0" fontId="23" fillId="0" borderId="0" xfId="0" applyFont="1" applyAlignment="1">
      <alignment horizontal="left" vertical="center" readingOrder="1"/>
    </xf>
    <xf numFmtId="166" fontId="47" fillId="2" borderId="2" xfId="0" applyNumberFormat="1" applyFont="1" applyFill="1" applyBorder="1" applyAlignment="1">
      <alignment horizontal="right"/>
    </xf>
    <xf numFmtId="2" fontId="0" fillId="2" borderId="2" xfId="0" applyNumberFormat="1" applyFill="1" applyBorder="1" applyAlignment="1">
      <alignment horizontal="right"/>
    </xf>
    <xf numFmtId="168" fontId="47" fillId="2" borderId="2" xfId="0" applyNumberFormat="1" applyFont="1" applyFill="1" applyBorder="1" applyAlignment="1">
      <alignment horizontal="right"/>
    </xf>
    <xf numFmtId="1" fontId="47" fillId="2" borderId="2" xfId="0" applyNumberFormat="1" applyFont="1" applyFill="1" applyBorder="1" applyAlignment="1">
      <alignment horizontal="right"/>
    </xf>
    <xf numFmtId="171" fontId="18" fillId="0" borderId="14" xfId="0" applyNumberFormat="1" applyFont="1" applyBorder="1" applyAlignment="1">
      <alignment vertical="center"/>
    </xf>
    <xf numFmtId="171" fontId="18" fillId="0" borderId="10" xfId="0" applyNumberFormat="1" applyFont="1" applyBorder="1" applyAlignment="1">
      <alignment vertical="center"/>
    </xf>
    <xf numFmtId="171" fontId="18" fillId="0" borderId="9" xfId="0" applyNumberFormat="1" applyFont="1" applyBorder="1" applyAlignment="1">
      <alignment vertical="center"/>
    </xf>
    <xf numFmtId="171" fontId="19" fillId="3" borderId="0" xfId="0" applyNumberFormat="1" applyFont="1" applyFill="1" applyAlignment="1">
      <alignment vertical="center"/>
    </xf>
    <xf numFmtId="171" fontId="19" fillId="3" borderId="12" xfId="0" applyNumberFormat="1" applyFont="1" applyFill="1" applyBorder="1" applyAlignment="1">
      <alignment vertical="center"/>
    </xf>
    <xf numFmtId="170" fontId="18" fillId="2" borderId="9" xfId="0" applyNumberFormat="1" applyFont="1" applyFill="1" applyBorder="1" applyAlignment="1">
      <alignment horizontal="right"/>
    </xf>
    <xf numFmtId="170" fontId="18" fillId="2" borderId="13" xfId="0" applyNumberFormat="1" applyFont="1" applyFill="1" applyBorder="1" applyAlignment="1">
      <alignment horizontal="right"/>
    </xf>
    <xf numFmtId="171" fontId="49" fillId="8" borderId="9" xfId="0" applyNumberFormat="1" applyFont="1" applyFill="1" applyBorder="1" applyAlignment="1">
      <alignment vertical="center"/>
    </xf>
    <xf numFmtId="166" fontId="0" fillId="0" borderId="2" xfId="0" applyNumberFormat="1" applyBorder="1"/>
    <xf numFmtId="8" fontId="0" fillId="2" borderId="1" xfId="0" applyNumberFormat="1" applyFill="1" applyBorder="1"/>
    <xf numFmtId="0" fontId="50" fillId="0" borderId="0" xfId="0" applyFont="1"/>
    <xf numFmtId="166" fontId="48" fillId="8" borderId="1" xfId="0" applyNumberFormat="1" applyFont="1" applyFill="1" applyBorder="1" applyAlignment="1">
      <alignment horizontal="right"/>
    </xf>
    <xf numFmtId="0" fontId="8" fillId="9" borderId="0" xfId="0" applyFont="1" applyFill="1"/>
    <xf numFmtId="0" fontId="0" fillId="9" borderId="0" xfId="0" applyFill="1"/>
    <xf numFmtId="0" fontId="6" fillId="10" borderId="0" xfId="0" applyFont="1" applyFill="1"/>
    <xf numFmtId="0" fontId="0" fillId="10" borderId="0" xfId="0" applyFill="1"/>
    <xf numFmtId="170" fontId="18" fillId="0" borderId="9" xfId="0" applyNumberFormat="1" applyFont="1" applyBorder="1" applyAlignment="1">
      <alignment vertical="center"/>
    </xf>
    <xf numFmtId="0" fontId="52" fillId="0" borderId="0" xfId="0" applyFont="1" applyAlignment="1">
      <alignment horizontal="center" vertical="center" wrapText="1"/>
    </xf>
    <xf numFmtId="170" fontId="49" fillId="8" borderId="10" xfId="1" applyNumberFormat="1" applyFont="1" applyFill="1" applyBorder="1" applyAlignment="1">
      <alignment vertical="center"/>
    </xf>
    <xf numFmtId="0" fontId="53" fillId="11" borderId="0" xfId="0" applyFont="1" applyFill="1"/>
    <xf numFmtId="0" fontId="54" fillId="0" borderId="0" xfId="0" applyFont="1"/>
    <xf numFmtId="0" fontId="55" fillId="12" borderId="0" xfId="0" applyFont="1" applyFill="1" applyAlignment="1">
      <alignment horizontal="left" vertical="center" wrapText="1"/>
    </xf>
    <xf numFmtId="172" fontId="5" fillId="12" borderId="0" xfId="0" applyNumberFormat="1" applyFont="1" applyFill="1" applyAlignment="1">
      <alignment horizontal="right"/>
    </xf>
    <xf numFmtId="173" fontId="0" fillId="0" borderId="28" xfId="0" applyNumberFormat="1" applyBorder="1"/>
    <xf numFmtId="2" fontId="0" fillId="0" borderId="28" xfId="0" applyNumberFormat="1" applyBorder="1"/>
    <xf numFmtId="0" fontId="47" fillId="12" borderId="0" xfId="0" applyFont="1" applyFill="1" applyAlignment="1">
      <alignment horizontal="left" vertical="center" wrapText="1"/>
    </xf>
    <xf numFmtId="0" fontId="39" fillId="0" borderId="0" xfId="0" applyFont="1"/>
    <xf numFmtId="17" fontId="28" fillId="0" borderId="0" xfId="0" applyNumberFormat="1" applyFont="1"/>
    <xf numFmtId="0" fontId="57" fillId="0" borderId="0" xfId="0" applyFont="1"/>
    <xf numFmtId="166" fontId="5" fillId="0" borderId="0" xfId="223" applyNumberFormat="1"/>
    <xf numFmtId="0" fontId="1" fillId="0" borderId="0" xfId="0" applyFont="1"/>
    <xf numFmtId="0" fontId="17" fillId="4" borderId="0" xfId="0" applyFont="1" applyFill="1" applyAlignment="1">
      <alignment horizontal="center" vertical="center"/>
    </xf>
    <xf numFmtId="2" fontId="5" fillId="0" borderId="0" xfId="223" applyNumberFormat="1"/>
    <xf numFmtId="0" fontId="5" fillId="0" borderId="21" xfId="223" applyBorder="1" applyAlignment="1">
      <alignment horizontal="right"/>
    </xf>
    <xf numFmtId="0" fontId="48" fillId="8" borderId="1" xfId="0" applyFont="1" applyFill="1" applyBorder="1" applyAlignment="1">
      <alignment horizontal="center"/>
    </xf>
    <xf numFmtId="1" fontId="4" fillId="0" borderId="2" xfId="224" applyNumberFormat="1" applyBorder="1"/>
    <xf numFmtId="0" fontId="58" fillId="6" borderId="0" xfId="0" applyFont="1" applyFill="1"/>
    <xf numFmtId="0" fontId="45" fillId="6" borderId="0" xfId="0" applyFont="1" applyFill="1"/>
    <xf numFmtId="0" fontId="45" fillId="0" borderId="0" xfId="0" applyFont="1"/>
    <xf numFmtId="0" fontId="47" fillId="0" borderId="29" xfId="0" applyFont="1" applyBorder="1">
      <extLst>
        <ext xmlns:xfpb="http://schemas.microsoft.com/office/spreadsheetml/2022/featurepropertybag" uri="{C7286773-470A-42A8-94C5-96B5CB345126}">
          <xfpb:xfComplement i="0"/>
        </ext>
      </extLst>
    </xf>
    <xf numFmtId="0" fontId="18" fillId="0" borderId="0" xfId="0" applyFont="1"/>
    <xf numFmtId="0" fontId="45" fillId="0" borderId="0" xfId="0" applyFont="1" applyAlignment="1">
      <alignment horizontal="center"/>
    </xf>
    <xf numFmtId="0" fontId="0" fillId="0" borderId="0" xfId="0" quotePrefix="1"/>
    <xf numFmtId="0" fontId="40" fillId="0" borderId="0" xfId="0" applyFont="1"/>
    <xf numFmtId="8" fontId="47" fillId="2" borderId="2" xfId="0" applyNumberFormat="1" applyFont="1" applyFill="1" applyBorder="1" applyAlignment="1">
      <alignment horizontal="right"/>
    </xf>
    <xf numFmtId="0" fontId="34" fillId="0" borderId="0" xfId="0" applyFont="1"/>
    <xf numFmtId="0" fontId="5" fillId="0" borderId="0" xfId="223" applyAlignment="1">
      <alignment horizontal="center"/>
    </xf>
    <xf numFmtId="0" fontId="39" fillId="0" borderId="0" xfId="223" applyFont="1" applyAlignment="1">
      <alignment horizontal="center" vertical="top" wrapText="1"/>
    </xf>
  </cellXfs>
  <cellStyles count="227">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cellStyle name="Normal" xfId="0" builtinId="0"/>
    <cellStyle name="Normal 2" xfId="226" xr:uid="{531DF55D-3115-B945-A545-128D3B0661F0}"/>
    <cellStyle name="Normal 2 3" xfId="224" xr:uid="{546EBFFF-B500-BA49-917D-6D1AA4D65AA4}"/>
    <cellStyle name="Normal 2 3 2" xfId="225" xr:uid="{A3753F29-50CB-1546-9238-8D5A34935475}"/>
    <cellStyle name="Normal 3" xfId="223" xr:uid="{F2642B95-5ED2-7C45-AC03-CA7903E28075}"/>
    <cellStyle name="Percent" xfId="1" builtinId="5"/>
  </cellStyles>
  <dxfs count="30">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Sustainability Knowledge Response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'Lab2'!$F$37</c:f>
              <c:strCache>
                <c:ptCount val="1"/>
                <c:pt idx="0">
                  <c:v>% of 
respondents 
in column AI</c:v>
                </c:pt>
              </c:strCache>
            </c:strRef>
          </c:tx>
          <c:spPr>
            <a:solidFill>
              <a:schemeClr val="accent1"/>
            </a:solidFill>
            <a:ln>
              <a:noFill/>
            </a:ln>
            <a:effectLst/>
          </c:spPr>
          <c:invertIfNegative val="0"/>
          <c:cat>
            <c:numRef>
              <c:f>'Lab2'!$C$38:$C$42</c:f>
              <c:numCache>
                <c:formatCode>0</c:formatCode>
                <c:ptCount val="5"/>
                <c:pt idx="0">
                  <c:v>5</c:v>
                </c:pt>
                <c:pt idx="1">
                  <c:v>22</c:v>
                </c:pt>
                <c:pt idx="2">
                  <c:v>32</c:v>
                </c:pt>
                <c:pt idx="3">
                  <c:v>36</c:v>
                </c:pt>
                <c:pt idx="4">
                  <c:v>9</c:v>
                </c:pt>
              </c:numCache>
            </c:numRef>
          </c:cat>
          <c:val>
            <c:numRef>
              <c:f>'Lab2'!$F$38:$F$42</c:f>
              <c:numCache>
                <c:formatCode>0.0</c:formatCode>
                <c:ptCount val="5"/>
                <c:pt idx="0">
                  <c:v>4.8076923076923084</c:v>
                </c:pt>
                <c:pt idx="1">
                  <c:v>21.153846153846153</c:v>
                </c:pt>
                <c:pt idx="2">
                  <c:v>30.76923076923077</c:v>
                </c:pt>
                <c:pt idx="3">
                  <c:v>34.615384615384613</c:v>
                </c:pt>
                <c:pt idx="4">
                  <c:v>8.6538461538461533</c:v>
                </c:pt>
              </c:numCache>
            </c:numRef>
          </c:val>
          <c:extLst>
            <c:ext xmlns:c16="http://schemas.microsoft.com/office/drawing/2014/chart" uri="{C3380CC4-5D6E-409C-BE32-E72D297353CC}">
              <c16:uniqueId val="{00000000-43DB-4805-B561-1F783EF3BDC5}"/>
            </c:ext>
          </c:extLst>
        </c:ser>
        <c:ser>
          <c:idx val="1"/>
          <c:order val="1"/>
          <c:tx>
            <c:strRef>
              <c:f>'Lab2'!$G$37</c:f>
              <c:strCache>
                <c:ptCount val="1"/>
                <c:pt idx="0">
                  <c:v>% of 
respondents 
in column AJ</c:v>
                </c:pt>
              </c:strCache>
            </c:strRef>
          </c:tx>
          <c:spPr>
            <a:solidFill>
              <a:schemeClr val="accent2"/>
            </a:solidFill>
            <a:ln>
              <a:noFill/>
            </a:ln>
            <a:effectLst/>
          </c:spPr>
          <c:invertIfNegative val="0"/>
          <c:cat>
            <c:numRef>
              <c:f>'Lab2'!$C$38:$C$42</c:f>
              <c:numCache>
                <c:formatCode>0</c:formatCode>
                <c:ptCount val="5"/>
                <c:pt idx="0">
                  <c:v>5</c:v>
                </c:pt>
                <c:pt idx="1">
                  <c:v>22</c:v>
                </c:pt>
                <c:pt idx="2">
                  <c:v>32</c:v>
                </c:pt>
                <c:pt idx="3">
                  <c:v>36</c:v>
                </c:pt>
                <c:pt idx="4">
                  <c:v>9</c:v>
                </c:pt>
              </c:numCache>
            </c:numRef>
          </c:cat>
          <c:val>
            <c:numRef>
              <c:f>'Lab2'!$G$38:$G$42</c:f>
              <c:numCache>
                <c:formatCode>0.0</c:formatCode>
                <c:ptCount val="5"/>
                <c:pt idx="0">
                  <c:v>6.7307692307692308</c:v>
                </c:pt>
                <c:pt idx="1">
                  <c:v>23.076923076923077</c:v>
                </c:pt>
                <c:pt idx="2">
                  <c:v>31.73076923076923</c:v>
                </c:pt>
                <c:pt idx="3">
                  <c:v>30.76923076923077</c:v>
                </c:pt>
                <c:pt idx="4">
                  <c:v>7.6923076923076925</c:v>
                </c:pt>
              </c:numCache>
            </c:numRef>
          </c:val>
          <c:extLst>
            <c:ext xmlns:c16="http://schemas.microsoft.com/office/drawing/2014/chart" uri="{C3380CC4-5D6E-409C-BE32-E72D297353CC}">
              <c16:uniqueId val="{00000001-43DB-4805-B561-1F783EF3BDC5}"/>
            </c:ext>
          </c:extLst>
        </c:ser>
        <c:ser>
          <c:idx val="2"/>
          <c:order val="2"/>
          <c:tx>
            <c:strRef>
              <c:f>'Lab2'!$H$37</c:f>
              <c:strCache>
                <c:ptCount val="1"/>
                <c:pt idx="0">
                  <c:v>% of 
respondents 
in column AK</c:v>
                </c:pt>
              </c:strCache>
            </c:strRef>
          </c:tx>
          <c:spPr>
            <a:solidFill>
              <a:schemeClr val="accent3"/>
            </a:solidFill>
            <a:ln>
              <a:noFill/>
            </a:ln>
            <a:effectLst/>
          </c:spPr>
          <c:invertIfNegative val="0"/>
          <c:cat>
            <c:numRef>
              <c:f>'Lab2'!$C$38:$C$42</c:f>
              <c:numCache>
                <c:formatCode>0</c:formatCode>
                <c:ptCount val="5"/>
                <c:pt idx="0">
                  <c:v>5</c:v>
                </c:pt>
                <c:pt idx="1">
                  <c:v>22</c:v>
                </c:pt>
                <c:pt idx="2">
                  <c:v>32</c:v>
                </c:pt>
                <c:pt idx="3">
                  <c:v>36</c:v>
                </c:pt>
                <c:pt idx="4">
                  <c:v>9</c:v>
                </c:pt>
              </c:numCache>
            </c:numRef>
          </c:cat>
          <c:val>
            <c:numRef>
              <c:f>'Lab2'!$H$38:$H$42</c:f>
              <c:numCache>
                <c:formatCode>0.0</c:formatCode>
                <c:ptCount val="5"/>
                <c:pt idx="0">
                  <c:v>10.576923076923077</c:v>
                </c:pt>
                <c:pt idx="1">
                  <c:v>25.961538461538463</c:v>
                </c:pt>
                <c:pt idx="2">
                  <c:v>28.846153846153843</c:v>
                </c:pt>
                <c:pt idx="3">
                  <c:v>29.807692307692307</c:v>
                </c:pt>
                <c:pt idx="4">
                  <c:v>4.8076923076923084</c:v>
                </c:pt>
              </c:numCache>
            </c:numRef>
          </c:val>
          <c:extLst>
            <c:ext xmlns:c16="http://schemas.microsoft.com/office/drawing/2014/chart" uri="{C3380CC4-5D6E-409C-BE32-E72D297353CC}">
              <c16:uniqueId val="{00000002-43DB-4805-B561-1F783EF3BDC5}"/>
            </c:ext>
          </c:extLst>
        </c:ser>
        <c:dLbls>
          <c:showLegendKey val="0"/>
          <c:showVal val="0"/>
          <c:showCatName val="0"/>
          <c:showSerName val="0"/>
          <c:showPercent val="0"/>
          <c:showBubbleSize val="0"/>
        </c:dLbls>
        <c:gapWidth val="219"/>
        <c:overlap val="-27"/>
        <c:axId val="98175695"/>
        <c:axId val="98170895"/>
      </c:barChart>
      <c:catAx>
        <c:axId val="98175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Knowledge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70895"/>
        <c:crosses val="autoZero"/>
        <c:auto val="1"/>
        <c:lblAlgn val="ctr"/>
        <c:lblOffset val="100"/>
        <c:noMultiLvlLbl val="0"/>
      </c:catAx>
      <c:valAx>
        <c:axId val="98170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 of Respondents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75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Split of Respondents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44-4903-B333-227197E63F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44-4903-B333-227197E63F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44-4903-B333-227197E63F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'Lab1'!$B$116:$D$116</c:f>
              <c:strCache>
                <c:ptCount val="3"/>
                <c:pt idx="0">
                  <c:v>Males =1</c:v>
                </c:pt>
                <c:pt idx="1">
                  <c:v>Females =2</c:v>
                </c:pt>
                <c:pt idx="2">
                  <c:v>Diverse =3</c:v>
                </c:pt>
              </c:strCache>
            </c:strRef>
          </c:cat>
          <c:val>
            <c:numRef>
              <c:f>'Lab1'!$B$117:$D$117</c:f>
              <c:numCache>
                <c:formatCode>General</c:formatCode>
                <c:ptCount val="3"/>
                <c:pt idx="0" formatCode="0">
                  <c:v>28</c:v>
                </c:pt>
                <c:pt idx="1">
                  <c:v>76</c:v>
                </c:pt>
                <c:pt idx="2">
                  <c:v>0</c:v>
                </c:pt>
              </c:numCache>
            </c:numRef>
          </c:val>
          <c:extLst>
            <c:ext xmlns:c16="http://schemas.microsoft.com/office/drawing/2014/chart" uri="{C3380CC4-5D6E-409C-BE32-E72D297353CC}">
              <c16:uniqueId val="{00000006-B544-4903-B333-227197E63F63}"/>
            </c:ext>
          </c:extLst>
        </c:ser>
        <c:dLbls>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6541119860017498"/>
          <c:y val="0.89409667541557303"/>
          <c:w val="0.47473315835520558"/>
          <c:h val="7.8125546806649182E-2"/>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Petrol Prices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'Lab2'!$A$127</c:f>
              <c:strCache>
                <c:ptCount val="1"/>
                <c:pt idx="0">
                  <c:v>Petrol (c/l) regular (nominal)</c:v>
                </c:pt>
              </c:strCache>
            </c:strRef>
          </c:tx>
          <c:spPr>
            <a:ln w="28575" cap="rnd">
              <a:solidFill>
                <a:schemeClr val="accent1"/>
              </a:solidFill>
              <a:round/>
            </a:ln>
            <a:effectLst/>
          </c:spPr>
          <c:marker>
            <c:symbol val="none"/>
          </c:marker>
          <c:cat>
            <c:numRef>
              <c:f>'Lab2'!$B$126:$BB$126</c:f>
              <c:numCache>
                <c:formatCode>mmm\-yy</c:formatCode>
                <c:ptCount val="53"/>
                <c:pt idx="0">
                  <c:v>27089</c:v>
                </c:pt>
                <c:pt idx="1">
                  <c:v>27454</c:v>
                </c:pt>
                <c:pt idx="2">
                  <c:v>27820</c:v>
                </c:pt>
                <c:pt idx="3">
                  <c:v>28185</c:v>
                </c:pt>
                <c:pt idx="4">
                  <c:v>28550</c:v>
                </c:pt>
                <c:pt idx="5">
                  <c:v>28915</c:v>
                </c:pt>
                <c:pt idx="6">
                  <c:v>29281</c:v>
                </c:pt>
                <c:pt idx="7">
                  <c:v>29646</c:v>
                </c:pt>
                <c:pt idx="8">
                  <c:v>30011</c:v>
                </c:pt>
                <c:pt idx="9">
                  <c:v>30376</c:v>
                </c:pt>
                <c:pt idx="10">
                  <c:v>30742</c:v>
                </c:pt>
                <c:pt idx="11">
                  <c:v>31107</c:v>
                </c:pt>
                <c:pt idx="12">
                  <c:v>31472</c:v>
                </c:pt>
                <c:pt idx="13">
                  <c:v>31837</c:v>
                </c:pt>
                <c:pt idx="14">
                  <c:v>32203</c:v>
                </c:pt>
                <c:pt idx="15">
                  <c:v>32568</c:v>
                </c:pt>
                <c:pt idx="16">
                  <c:v>32933</c:v>
                </c:pt>
                <c:pt idx="17">
                  <c:v>33298</c:v>
                </c:pt>
                <c:pt idx="18">
                  <c:v>33664</c:v>
                </c:pt>
                <c:pt idx="19">
                  <c:v>34029</c:v>
                </c:pt>
                <c:pt idx="20">
                  <c:v>34394</c:v>
                </c:pt>
                <c:pt idx="21">
                  <c:v>34759</c:v>
                </c:pt>
                <c:pt idx="22">
                  <c:v>35125</c:v>
                </c:pt>
                <c:pt idx="23">
                  <c:v>35490</c:v>
                </c:pt>
                <c:pt idx="24">
                  <c:v>35855</c:v>
                </c:pt>
                <c:pt idx="25">
                  <c:v>36220</c:v>
                </c:pt>
                <c:pt idx="26">
                  <c:v>36586</c:v>
                </c:pt>
                <c:pt idx="27">
                  <c:v>36951</c:v>
                </c:pt>
                <c:pt idx="28">
                  <c:v>37316</c:v>
                </c:pt>
                <c:pt idx="29">
                  <c:v>37681</c:v>
                </c:pt>
                <c:pt idx="30">
                  <c:v>38047</c:v>
                </c:pt>
                <c:pt idx="31">
                  <c:v>38412</c:v>
                </c:pt>
                <c:pt idx="32">
                  <c:v>38777</c:v>
                </c:pt>
                <c:pt idx="33">
                  <c:v>39142</c:v>
                </c:pt>
                <c:pt idx="34">
                  <c:v>39508</c:v>
                </c:pt>
                <c:pt idx="35">
                  <c:v>39873</c:v>
                </c:pt>
                <c:pt idx="36">
                  <c:v>40238</c:v>
                </c:pt>
                <c:pt idx="37">
                  <c:v>40603</c:v>
                </c:pt>
                <c:pt idx="38">
                  <c:v>40969</c:v>
                </c:pt>
                <c:pt idx="39">
                  <c:v>41334</c:v>
                </c:pt>
                <c:pt idx="40">
                  <c:v>41699</c:v>
                </c:pt>
                <c:pt idx="41">
                  <c:v>42064</c:v>
                </c:pt>
                <c:pt idx="42">
                  <c:v>42430</c:v>
                </c:pt>
                <c:pt idx="43">
                  <c:v>42795</c:v>
                </c:pt>
                <c:pt idx="44">
                  <c:v>43160</c:v>
                </c:pt>
                <c:pt idx="45">
                  <c:v>43525</c:v>
                </c:pt>
                <c:pt idx="46">
                  <c:v>43891</c:v>
                </c:pt>
                <c:pt idx="47">
                  <c:v>44256</c:v>
                </c:pt>
                <c:pt idx="48">
                  <c:v>44621</c:v>
                </c:pt>
                <c:pt idx="49">
                  <c:v>44986</c:v>
                </c:pt>
                <c:pt idx="50">
                  <c:v>45352</c:v>
                </c:pt>
                <c:pt idx="51">
                  <c:v>45717</c:v>
                </c:pt>
                <c:pt idx="52">
                  <c:v>46082</c:v>
                </c:pt>
              </c:numCache>
            </c:numRef>
          </c:cat>
          <c:val>
            <c:numRef>
              <c:f>'Lab2'!$B$127:$BB$127</c:f>
              <c:numCache>
                <c:formatCode>#,##0.00_ ;\-#,##0.00\ </c:formatCode>
                <c:ptCount val="53"/>
                <c:pt idx="0">
                  <c:v>12.3</c:v>
                </c:pt>
                <c:pt idx="1">
                  <c:v>16.399999999999999</c:v>
                </c:pt>
                <c:pt idx="2">
                  <c:v>26.1</c:v>
                </c:pt>
                <c:pt idx="3">
                  <c:v>26.1</c:v>
                </c:pt>
                <c:pt idx="4">
                  <c:v>28.7</c:v>
                </c:pt>
                <c:pt idx="5">
                  <c:v>30.7</c:v>
                </c:pt>
                <c:pt idx="6">
                  <c:v>46.5</c:v>
                </c:pt>
                <c:pt idx="7">
                  <c:v>56</c:v>
                </c:pt>
                <c:pt idx="8">
                  <c:v>60</c:v>
                </c:pt>
                <c:pt idx="9">
                  <c:v>68</c:v>
                </c:pt>
                <c:pt idx="10">
                  <c:v>68</c:v>
                </c:pt>
                <c:pt idx="11">
                  <c:v>87</c:v>
                </c:pt>
                <c:pt idx="12">
                  <c:v>86.333333330000002</c:v>
                </c:pt>
                <c:pt idx="13">
                  <c:v>85</c:v>
                </c:pt>
                <c:pt idx="14">
                  <c:v>89</c:v>
                </c:pt>
                <c:pt idx="15">
                  <c:v>85.9</c:v>
                </c:pt>
                <c:pt idx="16">
                  <c:v>90.1</c:v>
                </c:pt>
                <c:pt idx="17">
                  <c:v>97.7</c:v>
                </c:pt>
                <c:pt idx="18">
                  <c:v>94.8</c:v>
                </c:pt>
                <c:pt idx="19">
                  <c:v>98.7</c:v>
                </c:pt>
                <c:pt idx="20">
                  <c:v>88.3</c:v>
                </c:pt>
                <c:pt idx="21">
                  <c:v>90.9</c:v>
                </c:pt>
                <c:pt idx="22">
                  <c:v>90.1</c:v>
                </c:pt>
                <c:pt idx="23">
                  <c:v>90.9</c:v>
                </c:pt>
                <c:pt idx="24">
                  <c:v>89</c:v>
                </c:pt>
                <c:pt idx="25">
                  <c:v>80.900000000000006</c:v>
                </c:pt>
                <c:pt idx="26">
                  <c:v>97.1</c:v>
                </c:pt>
                <c:pt idx="27">
                  <c:v>104.4</c:v>
                </c:pt>
                <c:pt idx="28">
                  <c:v>97</c:v>
                </c:pt>
                <c:pt idx="29">
                  <c:v>110.2</c:v>
                </c:pt>
                <c:pt idx="30">
                  <c:v>109.8</c:v>
                </c:pt>
                <c:pt idx="31">
                  <c:v>118.3</c:v>
                </c:pt>
                <c:pt idx="32">
                  <c:v>146.1</c:v>
                </c:pt>
                <c:pt idx="33">
                  <c:v>142.30000000000001</c:v>
                </c:pt>
                <c:pt idx="34">
                  <c:v>171.6</c:v>
                </c:pt>
                <c:pt idx="35">
                  <c:v>155.5</c:v>
                </c:pt>
                <c:pt idx="36">
                  <c:v>173.2</c:v>
                </c:pt>
                <c:pt idx="37">
                  <c:v>203</c:v>
                </c:pt>
                <c:pt idx="38">
                  <c:v>210.3</c:v>
                </c:pt>
                <c:pt idx="39">
                  <c:v>210.5</c:v>
                </c:pt>
                <c:pt idx="40">
                  <c:v>211.2</c:v>
                </c:pt>
                <c:pt idx="41">
                  <c:v>178.8</c:v>
                </c:pt>
                <c:pt idx="42">
                  <c:v>169</c:v>
                </c:pt>
                <c:pt idx="43">
                  <c:v>189.8</c:v>
                </c:pt>
                <c:pt idx="44">
                  <c:v>200</c:v>
                </c:pt>
                <c:pt idx="45">
                  <c:v>201.2</c:v>
                </c:pt>
                <c:pt idx="46">
                  <c:v>208.9</c:v>
                </c:pt>
                <c:pt idx="47">
                  <c:v>200.3</c:v>
                </c:pt>
                <c:pt idx="48">
                  <c:v>266.8</c:v>
                </c:pt>
                <c:pt idx="49">
                  <c:v>245.1</c:v>
                </c:pt>
                <c:pt idx="50">
                  <c:v>274.5</c:v>
                </c:pt>
                <c:pt idx="51">
                  <c:v>266.7</c:v>
                </c:pt>
                <c:pt idx="52">
                  <c:v>269.8</c:v>
                </c:pt>
              </c:numCache>
            </c:numRef>
          </c:val>
          <c:smooth val="0"/>
          <c:extLst>
            <c:ext xmlns:c16="http://schemas.microsoft.com/office/drawing/2014/chart" uri="{C3380CC4-5D6E-409C-BE32-E72D297353CC}">
              <c16:uniqueId val="{00000000-76F5-4DBC-AC46-BE0C5A5992E2}"/>
            </c:ext>
          </c:extLst>
        </c:ser>
        <c:ser>
          <c:idx val="2"/>
          <c:order val="1"/>
          <c:tx>
            <c:strRef>
              <c:f>'Lab2'!$A$129</c:f>
              <c:strCache>
                <c:ptCount val="1"/>
                <c:pt idx="0">
                  <c:v>Petrol (c/l) (real: inflated)</c:v>
                </c:pt>
              </c:strCache>
            </c:strRef>
          </c:tx>
          <c:spPr>
            <a:ln w="28575" cap="rnd">
              <a:solidFill>
                <a:schemeClr val="accent3"/>
              </a:solidFill>
              <a:round/>
            </a:ln>
            <a:effectLst/>
          </c:spPr>
          <c:marker>
            <c:symbol val="none"/>
          </c:marker>
          <c:cat>
            <c:numRef>
              <c:f>'Lab2'!$B$126:$BB$126</c:f>
              <c:numCache>
                <c:formatCode>mmm\-yy</c:formatCode>
                <c:ptCount val="53"/>
                <c:pt idx="0">
                  <c:v>27089</c:v>
                </c:pt>
                <c:pt idx="1">
                  <c:v>27454</c:v>
                </c:pt>
                <c:pt idx="2">
                  <c:v>27820</c:v>
                </c:pt>
                <c:pt idx="3">
                  <c:v>28185</c:v>
                </c:pt>
                <c:pt idx="4">
                  <c:v>28550</c:v>
                </c:pt>
                <c:pt idx="5">
                  <c:v>28915</c:v>
                </c:pt>
                <c:pt idx="6">
                  <c:v>29281</c:v>
                </c:pt>
                <c:pt idx="7">
                  <c:v>29646</c:v>
                </c:pt>
                <c:pt idx="8">
                  <c:v>30011</c:v>
                </c:pt>
                <c:pt idx="9">
                  <c:v>30376</c:v>
                </c:pt>
                <c:pt idx="10">
                  <c:v>30742</c:v>
                </c:pt>
                <c:pt idx="11">
                  <c:v>31107</c:v>
                </c:pt>
                <c:pt idx="12">
                  <c:v>31472</c:v>
                </c:pt>
                <c:pt idx="13">
                  <c:v>31837</c:v>
                </c:pt>
                <c:pt idx="14">
                  <c:v>32203</c:v>
                </c:pt>
                <c:pt idx="15">
                  <c:v>32568</c:v>
                </c:pt>
                <c:pt idx="16">
                  <c:v>32933</c:v>
                </c:pt>
                <c:pt idx="17">
                  <c:v>33298</c:v>
                </c:pt>
                <c:pt idx="18">
                  <c:v>33664</c:v>
                </c:pt>
                <c:pt idx="19">
                  <c:v>34029</c:v>
                </c:pt>
                <c:pt idx="20">
                  <c:v>34394</c:v>
                </c:pt>
                <c:pt idx="21">
                  <c:v>34759</c:v>
                </c:pt>
                <c:pt idx="22">
                  <c:v>35125</c:v>
                </c:pt>
                <c:pt idx="23">
                  <c:v>35490</c:v>
                </c:pt>
                <c:pt idx="24">
                  <c:v>35855</c:v>
                </c:pt>
                <c:pt idx="25">
                  <c:v>36220</c:v>
                </c:pt>
                <c:pt idx="26">
                  <c:v>36586</c:v>
                </c:pt>
                <c:pt idx="27">
                  <c:v>36951</c:v>
                </c:pt>
                <c:pt idx="28">
                  <c:v>37316</c:v>
                </c:pt>
                <c:pt idx="29">
                  <c:v>37681</c:v>
                </c:pt>
                <c:pt idx="30">
                  <c:v>38047</c:v>
                </c:pt>
                <c:pt idx="31">
                  <c:v>38412</c:v>
                </c:pt>
                <c:pt idx="32">
                  <c:v>38777</c:v>
                </c:pt>
                <c:pt idx="33">
                  <c:v>39142</c:v>
                </c:pt>
                <c:pt idx="34">
                  <c:v>39508</c:v>
                </c:pt>
                <c:pt idx="35">
                  <c:v>39873</c:v>
                </c:pt>
                <c:pt idx="36">
                  <c:v>40238</c:v>
                </c:pt>
                <c:pt idx="37">
                  <c:v>40603</c:v>
                </c:pt>
                <c:pt idx="38">
                  <c:v>40969</c:v>
                </c:pt>
                <c:pt idx="39">
                  <c:v>41334</c:v>
                </c:pt>
                <c:pt idx="40">
                  <c:v>41699</c:v>
                </c:pt>
                <c:pt idx="41">
                  <c:v>42064</c:v>
                </c:pt>
                <c:pt idx="42">
                  <c:v>42430</c:v>
                </c:pt>
                <c:pt idx="43">
                  <c:v>42795</c:v>
                </c:pt>
                <c:pt idx="44">
                  <c:v>43160</c:v>
                </c:pt>
                <c:pt idx="45">
                  <c:v>43525</c:v>
                </c:pt>
                <c:pt idx="46">
                  <c:v>43891</c:v>
                </c:pt>
                <c:pt idx="47">
                  <c:v>44256</c:v>
                </c:pt>
                <c:pt idx="48">
                  <c:v>44621</c:v>
                </c:pt>
                <c:pt idx="49">
                  <c:v>44986</c:v>
                </c:pt>
                <c:pt idx="50">
                  <c:v>45352</c:v>
                </c:pt>
                <c:pt idx="51">
                  <c:v>45717</c:v>
                </c:pt>
                <c:pt idx="52">
                  <c:v>46082</c:v>
                </c:pt>
              </c:numCache>
            </c:numRef>
          </c:cat>
          <c:val>
            <c:numRef>
              <c:f>'Lab2'!$B$129:$BB$129</c:f>
              <c:numCache>
                <c:formatCode>0.00</c:formatCode>
                <c:ptCount val="53"/>
                <c:pt idx="0">
                  <c:v>185.05280898876404</c:v>
                </c:pt>
                <c:pt idx="1">
                  <c:v>217.4217821782178</c:v>
                </c:pt>
                <c:pt idx="2">
                  <c:v>296.16864406779661</c:v>
                </c:pt>
                <c:pt idx="3">
                  <c:v>260.805223880597</c:v>
                </c:pt>
                <c:pt idx="4">
                  <c:v>249.54090909090908</c:v>
                </c:pt>
                <c:pt idx="5">
                  <c:v>241.80764705882353</c:v>
                </c:pt>
                <c:pt idx="6">
                  <c:v>309.76865671641792</c:v>
                </c:pt>
                <c:pt idx="7">
                  <c:v>324.60606060606057</c:v>
                </c:pt>
                <c:pt idx="8">
                  <c:v>299.77611940298505</c:v>
                </c:pt>
                <c:pt idx="9">
                  <c:v>301.49668874172187</c:v>
                </c:pt>
                <c:pt idx="10">
                  <c:v>291.83333333333337</c:v>
                </c:pt>
                <c:pt idx="11">
                  <c:v>329.07627118644064</c:v>
                </c:pt>
                <c:pt idx="12">
                  <c:v>289.00083332217503</c:v>
                </c:pt>
                <c:pt idx="13">
                  <c:v>240.62367864693445</c:v>
                </c:pt>
                <c:pt idx="14">
                  <c:v>230.95155038759691</c:v>
                </c:pt>
                <c:pt idx="15">
                  <c:v>214.58973880597017</c:v>
                </c:pt>
                <c:pt idx="16">
                  <c:v>210.18101045296166</c:v>
                </c:pt>
                <c:pt idx="17">
                  <c:v>218.03383333333332</c:v>
                </c:pt>
                <c:pt idx="18">
                  <c:v>209.81355371900824</c:v>
                </c:pt>
                <c:pt idx="19">
                  <c:v>216.3</c:v>
                </c:pt>
                <c:pt idx="20">
                  <c:v>191.00759289176088</c:v>
                </c:pt>
                <c:pt idx="21">
                  <c:v>189.29253499222398</c:v>
                </c:pt>
                <c:pt idx="22">
                  <c:v>183.34939209726443</c:v>
                </c:pt>
                <c:pt idx="23">
                  <c:v>181.93587443946191</c:v>
                </c:pt>
                <c:pt idx="24">
                  <c:v>175.76843657817108</c:v>
                </c:pt>
                <c:pt idx="25">
                  <c:v>160.00753323485969</c:v>
                </c:pt>
                <c:pt idx="26">
                  <c:v>189.25312954876273</c:v>
                </c:pt>
                <c:pt idx="27">
                  <c:v>197.4457627118644</c:v>
                </c:pt>
                <c:pt idx="28">
                  <c:v>178.65612104539201</c:v>
                </c:pt>
                <c:pt idx="29">
                  <c:v>198.06416107382552</c:v>
                </c:pt>
                <c:pt idx="30">
                  <c:v>194.21690885072655</c:v>
                </c:pt>
                <c:pt idx="31">
                  <c:v>203.60372750642674</c:v>
                </c:pt>
                <c:pt idx="32">
                  <c:v>243.62129514321293</c:v>
                </c:pt>
                <c:pt idx="33">
                  <c:v>231.23750000000001</c:v>
                </c:pt>
                <c:pt idx="34">
                  <c:v>269.68591549295775</c:v>
                </c:pt>
                <c:pt idx="35">
                  <c:v>237.41676168757127</c:v>
                </c:pt>
                <c:pt idx="36">
                  <c:v>259.1226815642458</c:v>
                </c:pt>
                <c:pt idx="37">
                  <c:v>290.71336898395725</c:v>
                </c:pt>
                <c:pt idx="38">
                  <c:v>296.7246575342466</c:v>
                </c:pt>
                <c:pt idx="39">
                  <c:v>294.21659707724422</c:v>
                </c:pt>
                <c:pt idx="40">
                  <c:v>290.94320987654316</c:v>
                </c:pt>
                <c:pt idx="41">
                  <c:v>245.55200000000002</c:v>
                </c:pt>
                <c:pt idx="42">
                  <c:v>231.1450459652707</c:v>
                </c:pt>
                <c:pt idx="43">
                  <c:v>254.1422</c:v>
                </c:pt>
                <c:pt idx="44">
                  <c:v>264.88625123639957</c:v>
                </c:pt>
                <c:pt idx="45">
                  <c:v>262.57972709551655</c:v>
                </c:pt>
                <c:pt idx="46">
                  <c:v>265.8907794676806</c:v>
                </c:pt>
                <c:pt idx="47">
                  <c:v>251.12518726591762</c:v>
                </c:pt>
                <c:pt idx="48">
                  <c:v>312.82416812609461</c:v>
                </c:pt>
                <c:pt idx="49">
                  <c:v>269.44901477832514</c:v>
                </c:pt>
                <c:pt idx="50">
                  <c:v>290.09905288082081</c:v>
                </c:pt>
                <c:pt idx="51">
                  <c:v>274.91247113163973</c:v>
                </c:pt>
                <c:pt idx="52">
                  <c:v>269.8</c:v>
                </c:pt>
              </c:numCache>
            </c:numRef>
          </c:val>
          <c:smooth val="0"/>
          <c:extLst>
            <c:ext xmlns:c16="http://schemas.microsoft.com/office/drawing/2014/chart" uri="{C3380CC4-5D6E-409C-BE32-E72D297353CC}">
              <c16:uniqueId val="{00000001-76F5-4DBC-AC46-BE0C5A5992E2}"/>
            </c:ext>
          </c:extLst>
        </c:ser>
        <c:dLbls>
          <c:showLegendKey val="0"/>
          <c:showVal val="0"/>
          <c:showCatName val="0"/>
          <c:showSerName val="0"/>
          <c:showPercent val="0"/>
          <c:showBubbleSize val="0"/>
        </c:dLbls>
        <c:smooth val="0"/>
        <c:axId val="1661108847"/>
        <c:axId val="1661107887"/>
      </c:lineChart>
      <c:catAx>
        <c:axId val="1661108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107887"/>
        <c:crosses val="autoZero"/>
        <c:auto val="0"/>
        <c:lblAlgn val="ctr"/>
        <c:lblOffset val="100"/>
        <c:noMultiLvlLbl val="0"/>
      </c:catAx>
      <c:valAx>
        <c:axId val="1661107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Price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_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108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hyperlink" Target="https://www.torpedo7.co.nz/products/T7BRAN7WA/title/torpedo7-womens-classique-retro-bike---light-olive" TargetMode="External"/><Relationship Id="rId9" Type="http://schemas.openxmlformats.org/officeDocument/2006/relationships/image" Target="../media/image8.png"/></Relationships>
</file>

<file path=xl/drawings/_rels/drawing2.xml.rels><?xml version="1.0" encoding="UTF-8" standalone="yes"?>
<Relationships xmlns="http://schemas.openxmlformats.org/package/2006/relationships"><Relationship Id="rId8" Type="http://schemas.openxmlformats.org/officeDocument/2006/relationships/customXml" Target="../ink/ink1.xml"/><Relationship Id="rId13" Type="http://schemas.openxmlformats.org/officeDocument/2006/relationships/image" Target="../media/image19.png"/><Relationship Id="rId3" Type="http://schemas.openxmlformats.org/officeDocument/2006/relationships/image" Target="../media/image11.png"/><Relationship Id="rId7" Type="http://schemas.openxmlformats.org/officeDocument/2006/relationships/image" Target="../media/image15.png"/><Relationship Id="rId12" Type="http://schemas.openxmlformats.org/officeDocument/2006/relationships/image" Target="../media/image18.png"/><Relationship Id="rId17" Type="http://schemas.openxmlformats.org/officeDocument/2006/relationships/chart" Target="../charts/chart3.xml"/><Relationship Id="rId2" Type="http://schemas.openxmlformats.org/officeDocument/2006/relationships/image" Target="../media/image10.png"/><Relationship Id="rId16" Type="http://schemas.openxmlformats.org/officeDocument/2006/relationships/chart" Target="../charts/chart2.xml"/><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7.png"/><Relationship Id="rId5" Type="http://schemas.openxmlformats.org/officeDocument/2006/relationships/image" Target="../media/image13.png"/><Relationship Id="rId15" Type="http://schemas.openxmlformats.org/officeDocument/2006/relationships/chart" Target="../charts/chart1.xml"/><Relationship Id="rId10" Type="http://schemas.openxmlformats.org/officeDocument/2006/relationships/image" Target="../media/image16.png"/><Relationship Id="rId4" Type="http://schemas.openxmlformats.org/officeDocument/2006/relationships/image" Target="../media/image12.png"/><Relationship Id="rId14"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oneCellAnchor>
    <xdr:from>
      <xdr:col>8</xdr:col>
      <xdr:colOff>256228</xdr:colOff>
      <xdr:row>50</xdr:row>
      <xdr:rowOff>67733</xdr:rowOff>
    </xdr:from>
    <xdr:ext cx="2937466" cy="742669"/>
    <xdr:sp macro="" textlink="">
      <xdr:nvSpPr>
        <xdr:cNvPr id="17" name="TextBox 16">
          <a:extLst>
            <a:ext uri="{FF2B5EF4-FFF2-40B4-BE49-F238E27FC236}">
              <a16:creationId xmlns:a16="http://schemas.microsoft.com/office/drawing/2014/main" id="{344A8A2C-4FEE-334E-A644-E05C08666C59}"/>
            </a:ext>
          </a:extLst>
        </xdr:cNvPr>
        <xdr:cNvSpPr txBox="1"/>
      </xdr:nvSpPr>
      <xdr:spPr>
        <a:xfrm>
          <a:off x="7478295" y="10083800"/>
          <a:ext cx="2937466" cy="742669"/>
        </a:xfrm>
        <a:prstGeom prst="rect">
          <a:avLst/>
        </a:prstGeom>
        <a:solidFill>
          <a:schemeClr val="bg1"/>
        </a:solid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baseline="0">
              <a:solidFill>
                <a:srgbClr val="FF0000"/>
              </a:solidFill>
            </a:rPr>
            <a:t>Enter the new clearance price, then calculate how much of a discount this is from the original full price RRP).</a:t>
          </a:r>
          <a:br>
            <a:rPr lang="en-US" sz="800" baseline="0">
              <a:solidFill>
                <a:srgbClr val="FF0000"/>
              </a:solidFill>
            </a:rPr>
          </a:br>
          <a:r>
            <a:rPr lang="en-US" sz="800" baseline="0">
              <a:solidFill>
                <a:srgbClr val="FF0000"/>
              </a:solidFill>
            </a:rPr>
            <a:t>Hint:  (new price - old  price) / old price * 100 (should be -ve)</a:t>
          </a:r>
        </a:p>
        <a:p>
          <a:r>
            <a:rPr lang="en-US" sz="800" baseline="0">
              <a:solidFill>
                <a:schemeClr val="tx1"/>
              </a:solidFill>
            </a:rPr>
            <a:t>🤔: Is the discount rate the same whether you calculate the discount on the ex-GST or incl-GST price?</a:t>
          </a:r>
          <a:endParaRPr lang="en-US" sz="800">
            <a:solidFill>
              <a:schemeClr val="tx1"/>
            </a:solidFill>
          </a:endParaRPr>
        </a:p>
      </xdr:txBody>
    </xdr:sp>
    <xdr:clientData/>
  </xdr:oneCellAnchor>
  <xdr:twoCellAnchor editAs="oneCell">
    <xdr:from>
      <xdr:col>6</xdr:col>
      <xdr:colOff>499533</xdr:colOff>
      <xdr:row>68</xdr:row>
      <xdr:rowOff>169333</xdr:rowOff>
    </xdr:from>
    <xdr:to>
      <xdr:col>9</xdr:col>
      <xdr:colOff>471400</xdr:colOff>
      <xdr:row>70</xdr:row>
      <xdr:rowOff>14816</xdr:rowOff>
    </xdr:to>
    <xdr:pic>
      <xdr:nvPicPr>
        <xdr:cNvPr id="53" name="Picture 52">
          <a:extLst>
            <a:ext uri="{FF2B5EF4-FFF2-40B4-BE49-F238E27FC236}">
              <a16:creationId xmlns:a16="http://schemas.microsoft.com/office/drawing/2014/main" id="{56B2AD8C-15A8-6A43-BF4F-29EBD58BCAD8}"/>
            </a:ext>
          </a:extLst>
        </xdr:cNvPr>
        <xdr:cNvPicPr>
          <a:picLocks noChangeAspect="1"/>
        </xdr:cNvPicPr>
      </xdr:nvPicPr>
      <xdr:blipFill>
        <a:blip xmlns:r="http://schemas.openxmlformats.org/officeDocument/2006/relationships" r:embed="rId1"/>
        <a:stretch>
          <a:fillRect/>
        </a:stretch>
      </xdr:blipFill>
      <xdr:spPr>
        <a:xfrm>
          <a:off x="5431366" y="13906500"/>
          <a:ext cx="3124587" cy="226483"/>
        </a:xfrm>
        <a:prstGeom prst="rect">
          <a:avLst/>
        </a:prstGeom>
      </xdr:spPr>
    </xdr:pic>
    <xdr:clientData/>
  </xdr:twoCellAnchor>
  <xdr:oneCellAnchor>
    <xdr:from>
      <xdr:col>7</xdr:col>
      <xdr:colOff>198965</xdr:colOff>
      <xdr:row>18</xdr:row>
      <xdr:rowOff>63500</xdr:rowOff>
    </xdr:from>
    <xdr:ext cx="3473450" cy="554144"/>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337298" y="3757083"/>
          <a:ext cx="3473450" cy="554144"/>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to</a:t>
          </a:r>
          <a:r>
            <a:rPr lang="en-US" sz="900" baseline="0"/>
            <a:t> show a formula instead of calculating it, put a single quote mark in front of the calculation: eg </a:t>
          </a:r>
          <a:r>
            <a:rPr lang="en-US" sz="900" baseline="0">
              <a:solidFill>
                <a:srgbClr val="FF0000"/>
              </a:solidFill>
            </a:rPr>
            <a:t>'=E20*.15 </a:t>
          </a:r>
          <a:r>
            <a:rPr lang="en-US" sz="900" baseline="0">
              <a:solidFill>
                <a:schemeClr val="tx1"/>
              </a:solidFill>
            </a:rPr>
            <a:t>(to calculate GST).  </a:t>
          </a:r>
          <a:br>
            <a:rPr lang="en-US" sz="900" baseline="0">
              <a:solidFill>
                <a:schemeClr val="tx1"/>
              </a:solidFill>
            </a:rPr>
          </a:br>
          <a:r>
            <a:rPr lang="en-US" sz="900" baseline="0">
              <a:solidFill>
                <a:schemeClr val="tx1"/>
              </a:solidFill>
            </a:rPr>
            <a:t>This converts a formula into text.</a:t>
          </a:r>
        </a:p>
        <a:p>
          <a:endParaRPr lang="en-US" sz="900">
            <a:solidFill>
              <a:srgbClr val="FF0000"/>
            </a:solidFill>
          </a:endParaRPr>
        </a:p>
      </xdr:txBody>
    </xdr:sp>
    <xdr:clientData/>
  </xdr:oneCellAnchor>
  <xdr:twoCellAnchor editAs="oneCell">
    <xdr:from>
      <xdr:col>0</xdr:col>
      <xdr:colOff>0</xdr:colOff>
      <xdr:row>35</xdr:row>
      <xdr:rowOff>50801</xdr:rowOff>
    </xdr:from>
    <xdr:to>
      <xdr:col>3</xdr:col>
      <xdr:colOff>440266</xdr:colOff>
      <xdr:row>45</xdr:row>
      <xdr:rowOff>123104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0" y="7145868"/>
          <a:ext cx="3522133" cy="2019636"/>
        </a:xfrm>
        <a:prstGeom prst="rect">
          <a:avLst/>
        </a:prstGeom>
      </xdr:spPr>
    </xdr:pic>
    <xdr:clientData/>
  </xdr:twoCellAnchor>
  <xdr:oneCellAnchor>
    <xdr:from>
      <xdr:col>7</xdr:col>
      <xdr:colOff>201504</xdr:colOff>
      <xdr:row>21</xdr:row>
      <xdr:rowOff>10583</xdr:rowOff>
    </xdr:from>
    <xdr:ext cx="3978913" cy="28575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6339837" y="4286250"/>
          <a:ext cx="3978913" cy="28575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change decimal places so only two</a:t>
          </a:r>
          <a:r>
            <a:rPr lang="en-US" sz="900" baseline="0"/>
            <a:t> show for currency: Home ribbon</a:t>
          </a:r>
          <a:endParaRPr lang="en-US" sz="900" baseline="0">
            <a:solidFill>
              <a:srgbClr val="FF0000"/>
            </a:solidFill>
          </a:endParaRPr>
        </a:p>
        <a:p>
          <a:endParaRPr lang="en-US" sz="900">
            <a:solidFill>
              <a:srgbClr val="FF0000"/>
            </a:solidFill>
          </a:endParaRPr>
        </a:p>
      </xdr:txBody>
    </xdr:sp>
    <xdr:clientData/>
  </xdr:oneCellAnchor>
  <xdr:twoCellAnchor editAs="oneCell">
    <xdr:from>
      <xdr:col>11</xdr:col>
      <xdr:colOff>208957</xdr:colOff>
      <xdr:row>21</xdr:row>
      <xdr:rowOff>37190</xdr:rowOff>
    </xdr:from>
    <xdr:to>
      <xdr:col>11</xdr:col>
      <xdr:colOff>636029</xdr:colOff>
      <xdr:row>22</xdr:row>
      <xdr:rowOff>40153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3"/>
        <a:srcRect l="53826" t="21820" r="9806" b="17566"/>
        <a:stretch/>
      </xdr:blipFill>
      <xdr:spPr>
        <a:xfrm>
          <a:off x="9860957" y="4312857"/>
          <a:ext cx="427072" cy="193463"/>
        </a:xfrm>
        <a:prstGeom prst="rect">
          <a:avLst/>
        </a:prstGeom>
      </xdr:spPr>
    </xdr:pic>
    <xdr:clientData/>
  </xdr:twoCellAnchor>
  <xdr:oneCellAnchor>
    <xdr:from>
      <xdr:col>7</xdr:col>
      <xdr:colOff>53339</xdr:colOff>
      <xdr:row>22</xdr:row>
      <xdr:rowOff>190500</xdr:rowOff>
    </xdr:from>
    <xdr:ext cx="2510623" cy="236220"/>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6187679" y="4743330"/>
          <a:ext cx="2510623" cy="23622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use ex-GST sale price,</a:t>
          </a:r>
          <a:r>
            <a:rPr lang="en-US" sz="900" baseline="0"/>
            <a:t> less COGS    </a:t>
          </a:r>
          <a:r>
            <a:rPr lang="en-US" sz="900" baseline="0">
              <a:solidFill>
                <a:srgbClr val="FF0000"/>
              </a:solidFill>
            </a:rPr>
            <a:t>=</a:t>
          </a:r>
          <a:r>
            <a:rPr lang="en-US" sz="900" baseline="0"/>
            <a:t> </a:t>
          </a:r>
          <a:r>
            <a:rPr lang="en-US" sz="900" baseline="0">
              <a:solidFill>
                <a:srgbClr val="FF0000"/>
              </a:solidFill>
            </a:rPr>
            <a:t>E20-E23</a:t>
          </a:r>
          <a:endParaRPr lang="en-US" sz="900">
            <a:solidFill>
              <a:srgbClr val="FF0000"/>
            </a:solidFill>
          </a:endParaRPr>
        </a:p>
      </xdr:txBody>
    </xdr:sp>
    <xdr:clientData/>
  </xdr:oneCellAnchor>
  <xdr:oneCellAnchor>
    <xdr:from>
      <xdr:col>8</xdr:col>
      <xdr:colOff>135467</xdr:colOff>
      <xdr:row>59</xdr:row>
      <xdr:rowOff>57829</xdr:rowOff>
    </xdr:from>
    <xdr:ext cx="2143760" cy="403971"/>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171267" y="12283696"/>
          <a:ext cx="2143760" cy="403971"/>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multiply the per-unit gross margin by the number of units sold</a:t>
          </a:r>
          <a:endParaRPr lang="en-US" sz="900" baseline="0">
            <a:solidFill>
              <a:srgbClr val="FF0000"/>
            </a:solidFill>
          </a:endParaRPr>
        </a:p>
        <a:p>
          <a:endParaRPr lang="en-US" sz="900">
            <a:solidFill>
              <a:srgbClr val="FF0000"/>
            </a:solidFill>
          </a:endParaRPr>
        </a:p>
      </xdr:txBody>
    </xdr:sp>
    <xdr:clientData/>
  </xdr:oneCellAnchor>
  <xdr:oneCellAnchor>
    <xdr:from>
      <xdr:col>7</xdr:col>
      <xdr:colOff>430513</xdr:colOff>
      <xdr:row>0</xdr:row>
      <xdr:rowOff>47625</xdr:rowOff>
    </xdr:from>
    <xdr:ext cx="5082875" cy="3114038"/>
    <xdr:sp macro="" textlink="">
      <xdr:nvSpPr>
        <xdr:cNvPr id="13" name="TextBox 12">
          <a:extLst>
            <a:ext uri="{FF2B5EF4-FFF2-40B4-BE49-F238E27FC236}">
              <a16:creationId xmlns:a16="http://schemas.microsoft.com/office/drawing/2014/main" id="{00000000-0008-0000-0000-00000D000000}"/>
            </a:ext>
          </a:extLst>
        </xdr:cNvPr>
        <xdr:cNvSpPr txBox="1"/>
      </xdr:nvSpPr>
      <xdr:spPr>
        <a:xfrm>
          <a:off x="5788326" y="47625"/>
          <a:ext cx="5082875" cy="3114038"/>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t>Rationale Lab 1:</a:t>
          </a:r>
        </a:p>
        <a:p>
          <a:r>
            <a:rPr lang="en-US" sz="1050"/>
            <a:t>This</a:t>
          </a:r>
          <a:r>
            <a:rPr lang="en-US" sz="1050" baseline="0"/>
            <a:t> first lab uses two different analytics problems (plus two more in Lab 2 - see the second tab at the bottom of the sheet). </a:t>
          </a:r>
        </a:p>
        <a:p>
          <a:r>
            <a:rPr lang="en-US" sz="1050" baseline="0"/>
            <a:t>First, we look at Gross Margin, and the impact of GST and discounts on margin calculations. These are pretty basic but fundamental concepts that are the core to retail business profitability. It is vital that retail staff know the difference between margin and markup, and understand how discounts affect the quantity sold required to maintain the same profit contribution. </a:t>
          </a:r>
        </a:p>
        <a:p>
          <a:pPr marL="0" marR="0" lvl="0" indent="0" defTabSz="914400" eaLnBrk="1" fontAlgn="auto" latinLnBrk="0" hangingPunct="1">
            <a:lnSpc>
              <a:spcPct val="100000"/>
            </a:lnSpc>
            <a:spcBef>
              <a:spcPts val="0"/>
            </a:spcBef>
            <a:spcAft>
              <a:spcPts val="0"/>
            </a:spcAft>
            <a:buClrTx/>
            <a:buSzTx/>
            <a:buFontTx/>
            <a:buNone/>
            <a:tabLst/>
            <a:defRPr/>
          </a:pPr>
          <a:r>
            <a:rPr lang="en-US" sz="1050" baseline="0"/>
            <a:t>Second, we consider a sample of consumer attitudinal data from a survey in New Zealand, collected in 2020.</a:t>
          </a:r>
          <a:r>
            <a:rPr lang="en-NZ" sz="1100" b="0" i="0" u="none" strike="noStrike">
              <a:solidFill>
                <a:schemeClr val="tx1"/>
              </a:solidFill>
              <a:effectLst/>
              <a:latin typeface="+mn-lt"/>
              <a:ea typeface="+mn-ea"/>
              <a:cs typeface="+mn-cs"/>
            </a:rPr>
            <a:t>  This is a survey dataset about sustainability attitudes,</a:t>
          </a:r>
          <a:r>
            <a:rPr lang="en-NZ" sz="1100" b="0" i="0" u="none" strike="noStrike" baseline="0">
              <a:solidFill>
                <a:schemeClr val="tx1"/>
              </a:solidFill>
              <a:effectLst/>
              <a:latin typeface="+mn-lt"/>
              <a:ea typeface="+mn-ea"/>
              <a:cs typeface="+mn-cs"/>
            </a:rPr>
            <a:t> intended purchase behaviours, and knowledge of and support for retailer sustainability practices</a:t>
          </a:r>
          <a:r>
            <a:rPr lang="en-NZ" sz="1100" b="0" i="0" u="none" strike="noStrike">
              <a:solidFill>
                <a:schemeClr val="tx1"/>
              </a:solidFill>
              <a:effectLst/>
              <a:latin typeface="+mn-lt"/>
              <a:ea typeface="+mn-ea"/>
              <a:cs typeface="+mn-cs"/>
            </a:rPr>
            <a:t>. </a:t>
          </a:r>
          <a:r>
            <a:rPr lang="en-US" sz="1050" baseline="0"/>
            <a:t>We will use this dataset in several of the labs, and in the Report. For Lab 1 we will look at a small part of the dataset, both in questions (columns) and respondents (rows)</a:t>
          </a:r>
        </a:p>
        <a:p>
          <a:pPr marL="0" marR="0" lvl="0" indent="0" defTabSz="914400" eaLnBrk="1" fontAlgn="auto" latinLnBrk="0" hangingPunct="1">
            <a:lnSpc>
              <a:spcPct val="100000"/>
            </a:lnSpc>
            <a:spcBef>
              <a:spcPts val="0"/>
            </a:spcBef>
            <a:spcAft>
              <a:spcPts val="0"/>
            </a:spcAft>
            <a:buClrTx/>
            <a:buSzTx/>
            <a:buFontTx/>
            <a:buNone/>
            <a:tabLst/>
            <a:defRPr/>
          </a:pPr>
          <a:r>
            <a:rPr lang="en-US" sz="1050" baseline="0"/>
            <a:t>We start by doing some basic data checking and manipulation: parsing and concatenation (splitting and joining cells). </a:t>
          </a:r>
        </a:p>
        <a:p>
          <a:pPr marL="0" marR="0" lvl="0" indent="0" defTabSz="914400" eaLnBrk="1" fontAlgn="auto" latinLnBrk="0" hangingPunct="1">
            <a:lnSpc>
              <a:spcPct val="100000"/>
            </a:lnSpc>
            <a:spcBef>
              <a:spcPts val="0"/>
            </a:spcBef>
            <a:spcAft>
              <a:spcPts val="0"/>
            </a:spcAft>
            <a:buClrTx/>
            <a:buSzTx/>
            <a:buFontTx/>
            <a:buNone/>
            <a:tabLst/>
            <a:defRPr/>
          </a:pPr>
          <a:r>
            <a:rPr lang="en-US" sz="1050" baseline="0"/>
            <a:t>We will also do some summary statistics (frequencies), using the CountIf function in Excel. More advanced students could use PivotTables, but we will use that tool in a future lab.</a:t>
          </a:r>
          <a:endParaRPr lang="en-US" sz="1050"/>
        </a:p>
      </xdr:txBody>
    </xdr:sp>
    <xdr:clientData/>
  </xdr:oneCellAnchor>
  <xdr:twoCellAnchor>
    <xdr:from>
      <xdr:col>5</xdr:col>
      <xdr:colOff>50800</xdr:colOff>
      <xdr:row>48</xdr:row>
      <xdr:rowOff>172720</xdr:rowOff>
    </xdr:from>
    <xdr:to>
      <xdr:col>7</xdr:col>
      <xdr:colOff>10160</xdr:colOff>
      <xdr:row>61</xdr:row>
      <xdr:rowOff>10160</xdr:rowOff>
    </xdr:to>
    <xdr:sp macro="" textlink="">
      <xdr:nvSpPr>
        <xdr:cNvPr id="15" name="Rectangle 14">
          <a:extLst>
            <a:ext uri="{FF2B5EF4-FFF2-40B4-BE49-F238E27FC236}">
              <a16:creationId xmlns:a16="http://schemas.microsoft.com/office/drawing/2014/main" id="{00000000-0008-0000-0000-00000F000000}"/>
            </a:ext>
          </a:extLst>
        </xdr:cNvPr>
        <xdr:cNvSpPr/>
      </xdr:nvSpPr>
      <xdr:spPr>
        <a:xfrm>
          <a:off x="4907280" y="11257280"/>
          <a:ext cx="1229360" cy="2529840"/>
        </a:xfrm>
        <a:prstGeom prst="rect">
          <a:avLst/>
        </a:prstGeom>
        <a:noFill/>
        <a:ln>
          <a:solidFill>
            <a:srgbClr val="00B05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7</xdr:col>
      <xdr:colOff>54274</xdr:colOff>
      <xdr:row>24</xdr:row>
      <xdr:rowOff>50520</xdr:rowOff>
    </xdr:from>
    <xdr:ext cx="2860375" cy="372813"/>
    <xdr:sp macro="" textlink="">
      <xdr:nvSpPr>
        <xdr:cNvPr id="23" name="TextBox 22">
          <a:extLst>
            <a:ext uri="{FF2B5EF4-FFF2-40B4-BE49-F238E27FC236}">
              <a16:creationId xmlns:a16="http://schemas.microsoft.com/office/drawing/2014/main" id="{61B7DB4F-434D-C040-BABA-9DF150AE4F44}"/>
            </a:ext>
          </a:extLst>
        </xdr:cNvPr>
        <xdr:cNvSpPr txBox="1"/>
      </xdr:nvSpPr>
      <xdr:spPr>
        <a:xfrm>
          <a:off x="6192607" y="4897687"/>
          <a:ext cx="2860375" cy="372813"/>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GM/ ex-GST sale</a:t>
          </a:r>
          <a:r>
            <a:rPr lang="en-US" sz="900" baseline="0"/>
            <a:t> price</a:t>
          </a:r>
          <a:r>
            <a:rPr lang="en-US" sz="900"/>
            <a:t> * 100 (or use the % format, which does this bit for you). Format to 1 decimal place</a:t>
          </a:r>
          <a:endParaRPr lang="en-US" sz="900">
            <a:solidFill>
              <a:srgbClr val="FF0000"/>
            </a:solidFill>
          </a:endParaRPr>
        </a:p>
      </xdr:txBody>
    </xdr:sp>
    <xdr:clientData/>
  </xdr:oneCellAnchor>
  <xdr:oneCellAnchor>
    <xdr:from>
      <xdr:col>5</xdr:col>
      <xdr:colOff>63898</xdr:colOff>
      <xdr:row>26</xdr:row>
      <xdr:rowOff>199685</xdr:rowOff>
    </xdr:from>
    <xdr:ext cx="2116667" cy="236220"/>
    <xdr:sp macro="" textlink="">
      <xdr:nvSpPr>
        <xdr:cNvPr id="24" name="TextBox 23">
          <a:extLst>
            <a:ext uri="{FF2B5EF4-FFF2-40B4-BE49-F238E27FC236}">
              <a16:creationId xmlns:a16="http://schemas.microsoft.com/office/drawing/2014/main" id="{B8399F82-EE3E-ED40-AA8C-4E586B65FAAC}"/>
            </a:ext>
          </a:extLst>
        </xdr:cNvPr>
        <xdr:cNvSpPr txBox="1"/>
      </xdr:nvSpPr>
      <xdr:spPr>
        <a:xfrm>
          <a:off x="4928238" y="5599182"/>
          <a:ext cx="2116667" cy="23622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solidFill>
                <a:schemeClr val="tx1"/>
              </a:solidFill>
            </a:rPr>
            <a:t>(Making</a:t>
          </a:r>
          <a:r>
            <a:rPr lang="en-US" sz="900" baseline="0">
              <a:solidFill>
                <a:schemeClr val="tx1"/>
              </a:solidFill>
            </a:rPr>
            <a:t> sure you understand the COGS)</a:t>
          </a:r>
          <a:endParaRPr lang="en-US" sz="900">
            <a:solidFill>
              <a:srgbClr val="FF0000"/>
            </a:solidFill>
          </a:endParaRPr>
        </a:p>
      </xdr:txBody>
    </xdr:sp>
    <xdr:clientData/>
  </xdr:oneCellAnchor>
  <xdr:oneCellAnchor>
    <xdr:from>
      <xdr:col>8</xdr:col>
      <xdr:colOff>134828</xdr:colOff>
      <xdr:row>58</xdr:row>
      <xdr:rowOff>14377</xdr:rowOff>
    </xdr:from>
    <xdr:ext cx="2148616" cy="236220"/>
    <xdr:sp macro="" textlink="">
      <xdr:nvSpPr>
        <xdr:cNvPr id="25" name="TextBox 24">
          <a:extLst>
            <a:ext uri="{FF2B5EF4-FFF2-40B4-BE49-F238E27FC236}">
              <a16:creationId xmlns:a16="http://schemas.microsoft.com/office/drawing/2014/main" id="{7AF7C33F-91B2-7546-B7A3-6C38E16BCEE3}"/>
            </a:ext>
          </a:extLst>
        </xdr:cNvPr>
        <xdr:cNvSpPr txBox="1"/>
      </xdr:nvSpPr>
      <xdr:spPr>
        <a:xfrm>
          <a:off x="7170628" y="12020110"/>
          <a:ext cx="2148616" cy="23622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multiply sale price by quantity</a:t>
          </a:r>
          <a:r>
            <a:rPr lang="en-US" sz="900" baseline="0"/>
            <a:t> sold</a:t>
          </a:r>
          <a:endParaRPr lang="en-US" sz="900">
            <a:solidFill>
              <a:srgbClr val="FF0000"/>
            </a:solidFill>
          </a:endParaRPr>
        </a:p>
      </xdr:txBody>
    </xdr:sp>
    <xdr:clientData/>
  </xdr:oneCellAnchor>
  <xdr:oneCellAnchor>
    <xdr:from>
      <xdr:col>2</xdr:col>
      <xdr:colOff>677773</xdr:colOff>
      <xdr:row>18</xdr:row>
      <xdr:rowOff>173087</xdr:rowOff>
    </xdr:from>
    <xdr:ext cx="1062327" cy="223648"/>
    <xdr:sp macro="" textlink="">
      <xdr:nvSpPr>
        <xdr:cNvPr id="28" name="TextBox 27">
          <a:extLst>
            <a:ext uri="{FF2B5EF4-FFF2-40B4-BE49-F238E27FC236}">
              <a16:creationId xmlns:a16="http://schemas.microsoft.com/office/drawing/2014/main" id="{B778189F-080F-8640-92ED-99BCC635ED4B}"/>
            </a:ext>
          </a:extLst>
        </xdr:cNvPr>
        <xdr:cNvSpPr txBox="1"/>
      </xdr:nvSpPr>
      <xdr:spPr>
        <a:xfrm>
          <a:off x="2879106" y="3866670"/>
          <a:ext cx="1062327" cy="223648"/>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a:t>
          </a:r>
          <a:r>
            <a:rPr lang="en-US" sz="900" baseline="0">
              <a:solidFill>
                <a:srgbClr val="FF0000"/>
              </a:solidFill>
            </a:rPr>
            <a:t>=439.99/1.15</a:t>
          </a:r>
        </a:p>
        <a:p>
          <a:endParaRPr lang="en-US" sz="900">
            <a:solidFill>
              <a:srgbClr val="FF0000"/>
            </a:solidFill>
          </a:endParaRPr>
        </a:p>
      </xdr:txBody>
    </xdr:sp>
    <xdr:clientData/>
  </xdr:oneCellAnchor>
  <xdr:twoCellAnchor>
    <xdr:from>
      <xdr:col>4</xdr:col>
      <xdr:colOff>769989</xdr:colOff>
      <xdr:row>17</xdr:row>
      <xdr:rowOff>81472</xdr:rowOff>
    </xdr:from>
    <xdr:to>
      <xdr:col>6</xdr:col>
      <xdr:colOff>67094</xdr:colOff>
      <xdr:row>19</xdr:row>
      <xdr:rowOff>100642</xdr:rowOff>
    </xdr:to>
    <xdr:cxnSp macro="">
      <xdr:nvCxnSpPr>
        <xdr:cNvPr id="31" name="Straight Arrow Connector 30">
          <a:extLst>
            <a:ext uri="{FF2B5EF4-FFF2-40B4-BE49-F238E27FC236}">
              <a16:creationId xmlns:a16="http://schemas.microsoft.com/office/drawing/2014/main" id="{935F2CE6-2F7D-204E-9D41-8184409647C2}"/>
            </a:ext>
          </a:extLst>
        </xdr:cNvPr>
        <xdr:cNvCxnSpPr/>
      </xdr:nvCxnSpPr>
      <xdr:spPr>
        <a:xfrm flipV="1">
          <a:off x="4316404" y="3450566"/>
          <a:ext cx="174124" cy="392982"/>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0</xdr:colOff>
      <xdr:row>5</xdr:row>
      <xdr:rowOff>47925</xdr:rowOff>
    </xdr:from>
    <xdr:to>
      <xdr:col>3</xdr:col>
      <xdr:colOff>751417</xdr:colOff>
      <xdr:row>17</xdr:row>
      <xdr:rowOff>116108</xdr:rowOff>
    </xdr:to>
    <xdr:pic>
      <xdr:nvPicPr>
        <xdr:cNvPr id="34" name="Picture 33">
          <a:hlinkClick xmlns:r="http://schemas.openxmlformats.org/officeDocument/2006/relationships" r:id="rId4"/>
          <a:extLst>
            <a:ext uri="{FF2B5EF4-FFF2-40B4-BE49-F238E27FC236}">
              <a16:creationId xmlns:a16="http://schemas.microsoft.com/office/drawing/2014/main" id="{645E44D3-005E-8846-A065-44DEC0789E2A}"/>
            </a:ext>
          </a:extLst>
        </xdr:cNvPr>
        <xdr:cNvPicPr>
          <a:picLocks noChangeAspect="1"/>
        </xdr:cNvPicPr>
      </xdr:nvPicPr>
      <xdr:blipFill>
        <a:blip xmlns:r="http://schemas.openxmlformats.org/officeDocument/2006/relationships" r:embed="rId5"/>
        <a:stretch>
          <a:fillRect/>
        </a:stretch>
      </xdr:blipFill>
      <xdr:spPr>
        <a:xfrm>
          <a:off x="0" y="1265008"/>
          <a:ext cx="3831167" cy="2354183"/>
        </a:xfrm>
        <a:prstGeom prst="rect">
          <a:avLst/>
        </a:prstGeom>
      </xdr:spPr>
    </xdr:pic>
    <xdr:clientData/>
  </xdr:twoCellAnchor>
  <xdr:oneCellAnchor>
    <xdr:from>
      <xdr:col>6</xdr:col>
      <xdr:colOff>404615</xdr:colOff>
      <xdr:row>31</xdr:row>
      <xdr:rowOff>33867</xdr:rowOff>
    </xdr:from>
    <xdr:ext cx="1847520" cy="254000"/>
    <xdr:sp macro="" textlink="">
      <xdr:nvSpPr>
        <xdr:cNvPr id="35" name="TextBox 34">
          <a:extLst>
            <a:ext uri="{FF2B5EF4-FFF2-40B4-BE49-F238E27FC236}">
              <a16:creationId xmlns:a16="http://schemas.microsoft.com/office/drawing/2014/main" id="{FF5E2BFE-CD85-3E41-827C-4CD972CDCCDE}"/>
            </a:ext>
          </a:extLst>
        </xdr:cNvPr>
        <xdr:cNvSpPr txBox="1"/>
      </xdr:nvSpPr>
      <xdr:spPr>
        <a:xfrm>
          <a:off x="5349148" y="6341534"/>
          <a:ext cx="1847520" cy="25400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GM / COGS * 100</a:t>
          </a:r>
        </a:p>
      </xdr:txBody>
    </xdr:sp>
    <xdr:clientData/>
  </xdr:oneCellAnchor>
  <xdr:twoCellAnchor>
    <xdr:from>
      <xdr:col>5</xdr:col>
      <xdr:colOff>2801</xdr:colOff>
      <xdr:row>29</xdr:row>
      <xdr:rowOff>127000</xdr:rowOff>
    </xdr:from>
    <xdr:to>
      <xdr:col>6</xdr:col>
      <xdr:colOff>397933</xdr:colOff>
      <xdr:row>30</xdr:row>
      <xdr:rowOff>76720</xdr:rowOff>
    </xdr:to>
    <xdr:cxnSp macro="">
      <xdr:nvCxnSpPr>
        <xdr:cNvPr id="37" name="Straight Arrow Connector 36">
          <a:extLst>
            <a:ext uri="{FF2B5EF4-FFF2-40B4-BE49-F238E27FC236}">
              <a16:creationId xmlns:a16="http://schemas.microsoft.com/office/drawing/2014/main" id="{E223CE76-C81F-4A01-8E75-595E18F0D079}"/>
            </a:ext>
          </a:extLst>
        </xdr:cNvPr>
        <xdr:cNvCxnSpPr/>
      </xdr:nvCxnSpPr>
      <xdr:spPr>
        <a:xfrm flipV="1">
          <a:off x="4879601" y="6045200"/>
          <a:ext cx="462865" cy="144453"/>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10</xdr:col>
      <xdr:colOff>332404</xdr:colOff>
      <xdr:row>24</xdr:row>
      <xdr:rowOff>215468</xdr:rowOff>
    </xdr:from>
    <xdr:to>
      <xdr:col>10</xdr:col>
      <xdr:colOff>750162</xdr:colOff>
      <xdr:row>26</xdr:row>
      <xdr:rowOff>10998</xdr:rowOff>
    </xdr:to>
    <xdr:pic>
      <xdr:nvPicPr>
        <xdr:cNvPr id="42" name="Picture 41">
          <a:extLst>
            <a:ext uri="{FF2B5EF4-FFF2-40B4-BE49-F238E27FC236}">
              <a16:creationId xmlns:a16="http://schemas.microsoft.com/office/drawing/2014/main" id="{D2A70AD9-0D4F-DD4D-B6D8-90D4093C0E3F}"/>
            </a:ext>
          </a:extLst>
        </xdr:cNvPr>
        <xdr:cNvPicPr>
          <a:picLocks noChangeAspect="1"/>
        </xdr:cNvPicPr>
      </xdr:nvPicPr>
      <xdr:blipFill rotWithShape="1">
        <a:blip xmlns:r="http://schemas.openxmlformats.org/officeDocument/2006/relationships" r:embed="rId3"/>
        <a:srcRect l="53826" t="21820" r="9806" b="17566"/>
        <a:stretch/>
      </xdr:blipFill>
      <xdr:spPr>
        <a:xfrm>
          <a:off x="9095404" y="5181168"/>
          <a:ext cx="417758" cy="195580"/>
        </a:xfrm>
        <a:prstGeom prst="rect">
          <a:avLst/>
        </a:prstGeom>
      </xdr:spPr>
    </xdr:pic>
    <xdr:clientData/>
  </xdr:twoCellAnchor>
  <xdr:twoCellAnchor>
    <xdr:from>
      <xdr:col>4</xdr:col>
      <xdr:colOff>825500</xdr:colOff>
      <xdr:row>69</xdr:row>
      <xdr:rowOff>50800</xdr:rowOff>
    </xdr:from>
    <xdr:to>
      <xdr:col>7</xdr:col>
      <xdr:colOff>638036</xdr:colOff>
      <xdr:row>69</xdr:row>
      <xdr:rowOff>95250</xdr:rowOff>
    </xdr:to>
    <xdr:cxnSp macro="">
      <xdr:nvCxnSpPr>
        <xdr:cNvPr id="48" name="Straight Arrow Connector 47">
          <a:extLst>
            <a:ext uri="{FF2B5EF4-FFF2-40B4-BE49-F238E27FC236}">
              <a16:creationId xmlns:a16="http://schemas.microsoft.com/office/drawing/2014/main" id="{D93E0E05-B01C-9D4D-BC24-C67FACDF3AE0}"/>
            </a:ext>
          </a:extLst>
        </xdr:cNvPr>
        <xdr:cNvCxnSpPr/>
      </xdr:nvCxnSpPr>
      <xdr:spPr>
        <a:xfrm flipH="1">
          <a:off x="4783667" y="13999633"/>
          <a:ext cx="1992702" cy="44450"/>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9</xdr:col>
      <xdr:colOff>727604</xdr:colOff>
      <xdr:row>76</xdr:row>
      <xdr:rowOff>47096</xdr:rowOff>
    </xdr:from>
    <xdr:to>
      <xdr:col>10</xdr:col>
      <xdr:colOff>300038</xdr:colOff>
      <xdr:row>79</xdr:row>
      <xdr:rowOff>4335</xdr:rowOff>
    </xdr:to>
    <xdr:pic>
      <xdr:nvPicPr>
        <xdr:cNvPr id="51" name="Picture 50">
          <a:extLst>
            <a:ext uri="{FF2B5EF4-FFF2-40B4-BE49-F238E27FC236}">
              <a16:creationId xmlns:a16="http://schemas.microsoft.com/office/drawing/2014/main" id="{196D8D99-DBA6-0C4D-AD2C-1E2403C2CD7F}"/>
            </a:ext>
          </a:extLst>
        </xdr:cNvPr>
        <xdr:cNvPicPr>
          <a:picLocks noChangeAspect="1"/>
        </xdr:cNvPicPr>
      </xdr:nvPicPr>
      <xdr:blipFill>
        <a:blip xmlns:r="http://schemas.openxmlformats.org/officeDocument/2006/relationships" r:embed="rId6"/>
        <a:stretch>
          <a:fillRect/>
        </a:stretch>
      </xdr:blipFill>
      <xdr:spPr>
        <a:xfrm>
          <a:off x="7609417" y="15168034"/>
          <a:ext cx="334434" cy="520854"/>
        </a:xfrm>
        <a:prstGeom prst="rect">
          <a:avLst/>
        </a:prstGeom>
      </xdr:spPr>
    </xdr:pic>
    <xdr:clientData/>
  </xdr:twoCellAnchor>
  <xdr:oneCellAnchor>
    <xdr:from>
      <xdr:col>11</xdr:col>
      <xdr:colOff>522817</xdr:colOff>
      <xdr:row>75</xdr:row>
      <xdr:rowOff>38100</xdr:rowOff>
    </xdr:from>
    <xdr:ext cx="3619021" cy="687917"/>
    <xdr:sp macro="" textlink="">
      <xdr:nvSpPr>
        <xdr:cNvPr id="54" name="TextBox 53">
          <a:extLst>
            <a:ext uri="{FF2B5EF4-FFF2-40B4-BE49-F238E27FC236}">
              <a16:creationId xmlns:a16="http://schemas.microsoft.com/office/drawing/2014/main" id="{133D4369-6B6F-784F-8F5F-3DF6E5C695A3}"/>
            </a:ext>
          </a:extLst>
        </xdr:cNvPr>
        <xdr:cNvSpPr txBox="1"/>
      </xdr:nvSpPr>
      <xdr:spPr>
        <a:xfrm>
          <a:off x="9177867" y="14478000"/>
          <a:ext cx="3619021" cy="687917"/>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a quick way to scroll is to use the control (Windows) or command (Mac) key, together with an arrow key</a:t>
          </a:r>
          <a:r>
            <a:rPr lang="en-US" sz="900" baseline="0"/>
            <a:t>. </a:t>
          </a:r>
          <a:r>
            <a:rPr lang="en-US" sz="900"/>
            <a:t>Cntrl/Cmd + ▼ scrolls the sheet to the bottom of a group of data, stopping at the last filled cell.</a:t>
          </a:r>
        </a:p>
        <a:p>
          <a:r>
            <a:rPr lang="en-US" sz="900" baseline="0"/>
            <a:t>Holding down the Shift key as well selects the range of cells as you go.</a:t>
          </a:r>
          <a:endParaRPr lang="en-US" sz="900"/>
        </a:p>
      </xdr:txBody>
    </xdr:sp>
    <xdr:clientData/>
  </xdr:oneCellAnchor>
  <xdr:oneCellAnchor>
    <xdr:from>
      <xdr:col>11</xdr:col>
      <xdr:colOff>144460</xdr:colOff>
      <xdr:row>87</xdr:row>
      <xdr:rowOff>39689</xdr:rowOff>
    </xdr:from>
    <xdr:ext cx="4646085" cy="381000"/>
    <xdr:sp macro="" textlink="">
      <xdr:nvSpPr>
        <xdr:cNvPr id="55" name="TextBox 54">
          <a:extLst>
            <a:ext uri="{FF2B5EF4-FFF2-40B4-BE49-F238E27FC236}">
              <a16:creationId xmlns:a16="http://schemas.microsoft.com/office/drawing/2014/main" id="{30E7606F-4476-9B47-9354-C78DE4718039}"/>
            </a:ext>
          </a:extLst>
        </xdr:cNvPr>
        <xdr:cNvSpPr txBox="1"/>
      </xdr:nvSpPr>
      <xdr:spPr>
        <a:xfrm>
          <a:off x="8550273" y="17256127"/>
          <a:ext cx="4646085" cy="38100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a quick way to cut, copy and paste</a:t>
          </a:r>
          <a:r>
            <a:rPr lang="en-US" sz="900" baseline="0"/>
            <a:t> </a:t>
          </a:r>
          <a:r>
            <a:rPr lang="en-US" sz="900"/>
            <a:t>is to hold the control / command (Mac) key, together with X (cut), or C (copy), or V (paste) [f</a:t>
          </a:r>
          <a:r>
            <a:rPr lang="en-US" sz="900" baseline="0"/>
            <a:t>or Paste Special: control-alt-V / control-command-V]</a:t>
          </a:r>
          <a:endParaRPr lang="en-US" sz="900"/>
        </a:p>
      </xdr:txBody>
    </xdr:sp>
    <xdr:clientData/>
  </xdr:oneCellAnchor>
  <xdr:oneCellAnchor>
    <xdr:from>
      <xdr:col>6</xdr:col>
      <xdr:colOff>950744</xdr:colOff>
      <xdr:row>15</xdr:row>
      <xdr:rowOff>116417</xdr:rowOff>
    </xdr:from>
    <xdr:ext cx="2774590" cy="423334"/>
    <xdr:sp macro="" textlink="">
      <xdr:nvSpPr>
        <xdr:cNvPr id="57" name="TextBox 56">
          <a:extLst>
            <a:ext uri="{FF2B5EF4-FFF2-40B4-BE49-F238E27FC236}">
              <a16:creationId xmlns:a16="http://schemas.microsoft.com/office/drawing/2014/main" id="{0B46289F-16C1-984F-A51D-F501C06EA7FE}"/>
            </a:ext>
          </a:extLst>
        </xdr:cNvPr>
        <xdr:cNvSpPr txBox="1"/>
      </xdr:nvSpPr>
      <xdr:spPr>
        <a:xfrm>
          <a:off x="5882577" y="3238500"/>
          <a:ext cx="2774590" cy="423334"/>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aseline="0"/>
            <a:t>Note: as you type something in a cell, that text will appear in the formula bar, above the column headers</a:t>
          </a:r>
        </a:p>
      </xdr:txBody>
    </xdr:sp>
    <xdr:clientData/>
  </xdr:oneCellAnchor>
  <xdr:twoCellAnchor editAs="oneCell">
    <xdr:from>
      <xdr:col>9</xdr:col>
      <xdr:colOff>814915</xdr:colOff>
      <xdr:row>16</xdr:row>
      <xdr:rowOff>105834</xdr:rowOff>
    </xdr:from>
    <xdr:to>
      <xdr:col>12</xdr:col>
      <xdr:colOff>321733</xdr:colOff>
      <xdr:row>17</xdr:row>
      <xdr:rowOff>151560</xdr:rowOff>
    </xdr:to>
    <xdr:pic>
      <xdr:nvPicPr>
        <xdr:cNvPr id="58" name="Picture 57">
          <a:extLst>
            <a:ext uri="{FF2B5EF4-FFF2-40B4-BE49-F238E27FC236}">
              <a16:creationId xmlns:a16="http://schemas.microsoft.com/office/drawing/2014/main" id="{4B0B53D9-B70C-3E4E-93C5-D90EC9939A67}"/>
            </a:ext>
          </a:extLst>
        </xdr:cNvPr>
        <xdr:cNvPicPr>
          <a:picLocks noChangeAspect="1"/>
        </xdr:cNvPicPr>
      </xdr:nvPicPr>
      <xdr:blipFill>
        <a:blip xmlns:r="http://schemas.openxmlformats.org/officeDocument/2006/relationships" r:embed="rId7"/>
        <a:stretch>
          <a:fillRect/>
        </a:stretch>
      </xdr:blipFill>
      <xdr:spPr>
        <a:xfrm>
          <a:off x="8710082" y="3418417"/>
          <a:ext cx="2142068" cy="236226"/>
        </a:xfrm>
        <a:prstGeom prst="rect">
          <a:avLst/>
        </a:prstGeom>
      </xdr:spPr>
    </xdr:pic>
    <xdr:clientData/>
  </xdr:twoCellAnchor>
  <xdr:twoCellAnchor>
    <xdr:from>
      <xdr:col>8</xdr:col>
      <xdr:colOff>833967</xdr:colOff>
      <xdr:row>87</xdr:row>
      <xdr:rowOff>65616</xdr:rowOff>
    </xdr:from>
    <xdr:to>
      <xdr:col>9</xdr:col>
      <xdr:colOff>699248</xdr:colOff>
      <xdr:row>88</xdr:row>
      <xdr:rowOff>90691</xdr:rowOff>
    </xdr:to>
    <xdr:grpSp>
      <xdr:nvGrpSpPr>
        <xdr:cNvPr id="59" name="Group 58">
          <a:extLst>
            <a:ext uri="{FF2B5EF4-FFF2-40B4-BE49-F238E27FC236}">
              <a16:creationId xmlns:a16="http://schemas.microsoft.com/office/drawing/2014/main" id="{B7C65BCF-C356-D647-844F-E38F4B0787D3}"/>
            </a:ext>
          </a:extLst>
        </xdr:cNvPr>
        <xdr:cNvGrpSpPr/>
      </xdr:nvGrpSpPr>
      <xdr:grpSpPr>
        <a:xfrm>
          <a:off x="7396448" y="16619578"/>
          <a:ext cx="698108" cy="210690"/>
          <a:chOff x="6037384" y="6350000"/>
          <a:chExt cx="674077" cy="224692"/>
        </a:xfrm>
      </xdr:grpSpPr>
      <xdr:pic>
        <xdr:nvPicPr>
          <xdr:cNvPr id="60" name="Picture 59">
            <a:extLst>
              <a:ext uri="{FF2B5EF4-FFF2-40B4-BE49-F238E27FC236}">
                <a16:creationId xmlns:a16="http://schemas.microsoft.com/office/drawing/2014/main" id="{E60CEE07-9195-5048-849C-411146605F4C}"/>
              </a:ext>
            </a:extLst>
          </xdr:cNvPr>
          <xdr:cNvPicPr>
            <a:picLocks noChangeAspect="1"/>
          </xdr:cNvPicPr>
        </xdr:nvPicPr>
        <xdr:blipFill>
          <a:blip xmlns:r="http://schemas.openxmlformats.org/officeDocument/2006/relationships" r:embed="rId8"/>
          <a:stretch>
            <a:fillRect/>
          </a:stretch>
        </xdr:blipFill>
        <xdr:spPr>
          <a:xfrm>
            <a:off x="6037384" y="6350000"/>
            <a:ext cx="622300" cy="165100"/>
          </a:xfrm>
          <a:prstGeom prst="rect">
            <a:avLst/>
          </a:prstGeom>
        </xdr:spPr>
      </xdr:pic>
      <xdr:sp macro="" textlink="">
        <xdr:nvSpPr>
          <xdr:cNvPr id="61" name="Oval 60">
            <a:extLst>
              <a:ext uri="{FF2B5EF4-FFF2-40B4-BE49-F238E27FC236}">
                <a16:creationId xmlns:a16="http://schemas.microsoft.com/office/drawing/2014/main" id="{C4A2AFD7-EB7A-0A43-84F0-E2716F6ED04B}"/>
              </a:ext>
            </a:extLst>
          </xdr:cNvPr>
          <xdr:cNvSpPr/>
        </xdr:nvSpPr>
        <xdr:spPr>
          <a:xfrm>
            <a:off x="6545384" y="6418385"/>
            <a:ext cx="166077" cy="156307"/>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grpSp>
    <xdr:clientData/>
  </xdr:twoCellAnchor>
  <xdr:twoCellAnchor>
    <xdr:from>
      <xdr:col>8</xdr:col>
      <xdr:colOff>25400</xdr:colOff>
      <xdr:row>50</xdr:row>
      <xdr:rowOff>127000</xdr:rowOff>
    </xdr:from>
    <xdr:to>
      <xdr:col>8</xdr:col>
      <xdr:colOff>334211</xdr:colOff>
      <xdr:row>50</xdr:row>
      <xdr:rowOff>189386</xdr:rowOff>
    </xdr:to>
    <xdr:cxnSp macro="">
      <xdr:nvCxnSpPr>
        <xdr:cNvPr id="68" name="Straight Arrow Connector 67">
          <a:extLst>
            <a:ext uri="{FF2B5EF4-FFF2-40B4-BE49-F238E27FC236}">
              <a16:creationId xmlns:a16="http://schemas.microsoft.com/office/drawing/2014/main" id="{F4E618AE-5DAA-6D4B-A22B-B1087B6BA59A}"/>
            </a:ext>
          </a:extLst>
        </xdr:cNvPr>
        <xdr:cNvCxnSpPr/>
      </xdr:nvCxnSpPr>
      <xdr:spPr>
        <a:xfrm>
          <a:off x="7233207" y="9897088"/>
          <a:ext cx="308811" cy="62386"/>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22014</xdr:colOff>
      <xdr:row>48</xdr:row>
      <xdr:rowOff>174413</xdr:rowOff>
    </xdr:from>
    <xdr:to>
      <xdr:col>8</xdr:col>
      <xdr:colOff>42335</xdr:colOff>
      <xdr:row>61</xdr:row>
      <xdr:rowOff>11853</xdr:rowOff>
    </xdr:to>
    <xdr:sp macro="" textlink="">
      <xdr:nvSpPr>
        <xdr:cNvPr id="69" name="Rectangle 68">
          <a:extLst>
            <a:ext uri="{FF2B5EF4-FFF2-40B4-BE49-F238E27FC236}">
              <a16:creationId xmlns:a16="http://schemas.microsoft.com/office/drawing/2014/main" id="{8F1C7935-9C9E-EF49-ABD0-8B5B65D8BFE2}"/>
            </a:ext>
          </a:extLst>
        </xdr:cNvPr>
        <xdr:cNvSpPr/>
      </xdr:nvSpPr>
      <xdr:spPr>
        <a:xfrm>
          <a:off x="6177281" y="10055013"/>
          <a:ext cx="900854" cy="2606040"/>
        </a:xfrm>
        <a:prstGeom prst="rect">
          <a:avLst/>
        </a:prstGeom>
        <a:noFill/>
        <a:ln>
          <a:solidFill>
            <a:srgbClr val="7030A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0</xdr:colOff>
      <xdr:row>52</xdr:row>
      <xdr:rowOff>16933</xdr:rowOff>
    </xdr:from>
    <xdr:to>
      <xdr:col>8</xdr:col>
      <xdr:colOff>313267</xdr:colOff>
      <xdr:row>52</xdr:row>
      <xdr:rowOff>118533</xdr:rowOff>
    </xdr:to>
    <xdr:cxnSp macro="">
      <xdr:nvCxnSpPr>
        <xdr:cNvPr id="44" name="Straight Arrow Connector 43">
          <a:extLst>
            <a:ext uri="{FF2B5EF4-FFF2-40B4-BE49-F238E27FC236}">
              <a16:creationId xmlns:a16="http://schemas.microsoft.com/office/drawing/2014/main" id="{CFDB957F-CCFE-FB40-A61E-25BCA87760B5}"/>
            </a:ext>
          </a:extLst>
        </xdr:cNvPr>
        <xdr:cNvCxnSpPr/>
      </xdr:nvCxnSpPr>
      <xdr:spPr>
        <a:xfrm flipV="1">
          <a:off x="7035800" y="10735733"/>
          <a:ext cx="313267" cy="101600"/>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857250</xdr:colOff>
      <xdr:row>87</xdr:row>
      <xdr:rowOff>179916</xdr:rowOff>
    </xdr:from>
    <xdr:to>
      <xdr:col>9</xdr:col>
      <xdr:colOff>455083</xdr:colOff>
      <xdr:row>88</xdr:row>
      <xdr:rowOff>0</xdr:rowOff>
    </xdr:to>
    <xdr:cxnSp macro="">
      <xdr:nvCxnSpPr>
        <xdr:cNvPr id="46" name="Straight Arrow Connector 45">
          <a:extLst>
            <a:ext uri="{FF2B5EF4-FFF2-40B4-BE49-F238E27FC236}">
              <a16:creationId xmlns:a16="http://schemas.microsoft.com/office/drawing/2014/main" id="{AA459049-133A-1143-98E2-2D8FB1AF9EB3}"/>
            </a:ext>
          </a:extLst>
        </xdr:cNvPr>
        <xdr:cNvCxnSpPr/>
      </xdr:nvCxnSpPr>
      <xdr:spPr>
        <a:xfrm>
          <a:off x="3937000" y="17536583"/>
          <a:ext cx="4413250" cy="1058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783167</xdr:colOff>
      <xdr:row>9</xdr:row>
      <xdr:rowOff>31750</xdr:rowOff>
    </xdr:from>
    <xdr:ext cx="1957916" cy="1648804"/>
    <xdr:sp macro="" textlink="">
      <xdr:nvSpPr>
        <xdr:cNvPr id="27" name="TextBox 26">
          <a:extLst>
            <a:ext uri="{FF2B5EF4-FFF2-40B4-BE49-F238E27FC236}">
              <a16:creationId xmlns:a16="http://schemas.microsoft.com/office/drawing/2014/main" id="{5A773F50-A6AB-8945-AC9C-F86840931E93}"/>
            </a:ext>
          </a:extLst>
        </xdr:cNvPr>
        <xdr:cNvSpPr txBox="1"/>
      </xdr:nvSpPr>
      <xdr:spPr>
        <a:xfrm>
          <a:off x="3862917" y="2010833"/>
          <a:ext cx="1957916" cy="1648804"/>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don't</a:t>
          </a:r>
          <a:r>
            <a:rPr lang="en-US" sz="900" baseline="0"/>
            <a:t> use a calculator! This spreadsheet is a far more capable calculator than anything you have on your phone etc. Use it! </a:t>
          </a:r>
        </a:p>
        <a:p>
          <a:r>
            <a:rPr lang="en-US" sz="900" baseline="0"/>
            <a:t>Start with typing = in cell E20</a:t>
          </a:r>
        </a:p>
        <a:p>
          <a:endParaRPr lang="en-US" sz="900" baseline="0"/>
        </a:p>
        <a:p>
          <a:r>
            <a:rPr lang="en-US" sz="900" baseline="0"/>
            <a:t>Boxes highlighted in yellow will turn green if you enter the right answer (or close enough, if rounding could affect precision of answer).</a:t>
          </a:r>
        </a:p>
        <a:p>
          <a:r>
            <a:rPr lang="en-US" sz="900" baseline="0"/>
            <a:t>If it stays yellow, check your answer!</a:t>
          </a:r>
        </a:p>
      </xdr:txBody>
    </xdr:sp>
    <xdr:clientData/>
  </xdr:oneCellAnchor>
  <xdr:oneCellAnchor>
    <xdr:from>
      <xdr:col>10</xdr:col>
      <xdr:colOff>846668</xdr:colOff>
      <xdr:row>24</xdr:row>
      <xdr:rowOff>21166</xdr:rowOff>
    </xdr:from>
    <xdr:ext cx="2317193" cy="669536"/>
    <xdr:sp macro="" textlink="">
      <xdr:nvSpPr>
        <xdr:cNvPr id="9" name="TextBox 8">
          <a:extLst>
            <a:ext uri="{FF2B5EF4-FFF2-40B4-BE49-F238E27FC236}">
              <a16:creationId xmlns:a16="http://schemas.microsoft.com/office/drawing/2014/main" id="{733097AC-3E71-244C-A7B1-3FD6A205A515}"/>
            </a:ext>
          </a:extLst>
        </xdr:cNvPr>
        <xdr:cNvSpPr txBox="1"/>
      </xdr:nvSpPr>
      <xdr:spPr>
        <a:xfrm>
          <a:off x="9814650" y="4844938"/>
          <a:ext cx="2317193" cy="669536"/>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This is a "red box": enter this answer into the Red Box Quiz for Lab 1 (ignore %). </a:t>
          </a:r>
          <a:r>
            <a:rPr lang="en-NZ" sz="900" b="0" i="0" u="none" strike="noStrike">
              <a:solidFill>
                <a:schemeClr val="tx1"/>
              </a:solidFill>
              <a:effectLst/>
              <a:latin typeface="+mn-lt"/>
              <a:ea typeface="+mn-ea"/>
              <a:cs typeface="+mn-cs"/>
            </a:rPr>
            <a:t>You won't know whether it is right or not until after the due date for submissions.</a:t>
          </a:r>
        </a:p>
      </xdr:txBody>
    </xdr:sp>
    <xdr:clientData/>
  </xdr:oneCellAnchor>
  <xdr:twoCellAnchor>
    <xdr:from>
      <xdr:col>5</xdr:col>
      <xdr:colOff>0</xdr:colOff>
      <xdr:row>24</xdr:row>
      <xdr:rowOff>52916</xdr:rowOff>
    </xdr:from>
    <xdr:to>
      <xdr:col>10</xdr:col>
      <xdr:colOff>825499</xdr:colOff>
      <xdr:row>24</xdr:row>
      <xdr:rowOff>53974</xdr:rowOff>
    </xdr:to>
    <xdr:cxnSp macro="">
      <xdr:nvCxnSpPr>
        <xdr:cNvPr id="10" name="Straight Arrow Connector 9">
          <a:extLst>
            <a:ext uri="{FF2B5EF4-FFF2-40B4-BE49-F238E27FC236}">
              <a16:creationId xmlns:a16="http://schemas.microsoft.com/office/drawing/2014/main" id="{4E169F23-8A89-364C-99FE-564F0FE3E22B}"/>
            </a:ext>
          </a:extLst>
        </xdr:cNvPr>
        <xdr:cNvCxnSpPr/>
      </xdr:nvCxnSpPr>
      <xdr:spPr>
        <a:xfrm>
          <a:off x="4868333" y="4900083"/>
          <a:ext cx="4730749" cy="1058"/>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1193800</xdr:colOff>
      <xdr:row>19</xdr:row>
      <xdr:rowOff>145839</xdr:rowOff>
    </xdr:from>
    <xdr:to>
      <xdr:col>7</xdr:col>
      <xdr:colOff>198965</xdr:colOff>
      <xdr:row>20</xdr:row>
      <xdr:rowOff>101600</xdr:rowOff>
    </xdr:to>
    <xdr:cxnSp macro="">
      <xdr:nvCxnSpPr>
        <xdr:cNvPr id="16" name="Straight Arrow Connector 15">
          <a:extLst>
            <a:ext uri="{FF2B5EF4-FFF2-40B4-BE49-F238E27FC236}">
              <a16:creationId xmlns:a16="http://schemas.microsoft.com/office/drawing/2014/main" id="{F114909E-FDF7-8046-A310-48C940C4A6E6}"/>
            </a:ext>
          </a:extLst>
        </xdr:cNvPr>
        <xdr:cNvCxnSpPr>
          <a:endCxn id="4" idx="1"/>
        </xdr:cNvCxnSpPr>
      </xdr:nvCxnSpPr>
      <xdr:spPr>
        <a:xfrm flipV="1">
          <a:off x="6138333" y="4099772"/>
          <a:ext cx="215899" cy="150495"/>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872067</xdr:colOff>
      <xdr:row>20</xdr:row>
      <xdr:rowOff>186266</xdr:rowOff>
    </xdr:from>
    <xdr:to>
      <xdr:col>7</xdr:col>
      <xdr:colOff>201504</xdr:colOff>
      <xdr:row>21</xdr:row>
      <xdr:rowOff>153458</xdr:rowOff>
    </xdr:to>
    <xdr:cxnSp macro="">
      <xdr:nvCxnSpPr>
        <xdr:cNvPr id="18" name="Straight Arrow Connector 17">
          <a:extLst>
            <a:ext uri="{FF2B5EF4-FFF2-40B4-BE49-F238E27FC236}">
              <a16:creationId xmlns:a16="http://schemas.microsoft.com/office/drawing/2014/main" id="{36685502-726E-AD4A-945E-D57A4E49C9BA}"/>
            </a:ext>
          </a:extLst>
        </xdr:cNvPr>
        <xdr:cNvCxnSpPr/>
      </xdr:nvCxnSpPr>
      <xdr:spPr>
        <a:xfrm>
          <a:off x="4834467" y="4334933"/>
          <a:ext cx="1522304" cy="170392"/>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10</xdr:col>
      <xdr:colOff>843103</xdr:colOff>
      <xdr:row>28</xdr:row>
      <xdr:rowOff>6461</xdr:rowOff>
    </xdr:from>
    <xdr:ext cx="3178564" cy="706522"/>
    <xdr:sp macro="" textlink="">
      <xdr:nvSpPr>
        <xdr:cNvPr id="5" name="TextBox 4">
          <a:extLst>
            <a:ext uri="{FF2B5EF4-FFF2-40B4-BE49-F238E27FC236}">
              <a16:creationId xmlns:a16="http://schemas.microsoft.com/office/drawing/2014/main" id="{EE431CE9-4463-C04B-B0AE-AAD0F256F7EF}"/>
            </a:ext>
          </a:extLst>
        </xdr:cNvPr>
        <xdr:cNvSpPr txBox="1"/>
      </xdr:nvSpPr>
      <xdr:spPr>
        <a:xfrm>
          <a:off x="9811085" y="5598917"/>
          <a:ext cx="3178564" cy="706522"/>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NZ" sz="900" b="0" i="0" u="none" strike="noStrike">
              <a:solidFill>
                <a:schemeClr val="tx1"/>
              </a:solidFill>
              <a:effectLst/>
              <a:latin typeface="+mn-lt"/>
              <a:ea typeface="+mn-ea"/>
              <a:cs typeface="+mn-cs"/>
            </a:rPr>
            <a:t>DON'T copy and paste into pre-formatted cells, as you will lose the formatting. You CAN copy and paste into the formula bar for the cell, but this does not automatically update the cell references - so adjust manually after pasting</a:t>
          </a:r>
          <a:r>
            <a:rPr lang="en-NZ" sz="900"/>
            <a:t> </a:t>
          </a:r>
          <a:endParaRPr lang="en-NZ" sz="900" b="0" i="0" u="none" strike="noStrike">
            <a:solidFill>
              <a:schemeClr val="tx1"/>
            </a:solidFill>
            <a:effectLst/>
            <a:latin typeface="+mn-lt"/>
            <a:ea typeface="+mn-ea"/>
            <a:cs typeface="+mn-cs"/>
          </a:endParaRPr>
        </a:p>
      </xdr:txBody>
    </xdr:sp>
    <xdr:clientData/>
  </xdr:oneCellAnchor>
  <xdr:twoCellAnchor>
    <xdr:from>
      <xdr:col>5</xdr:col>
      <xdr:colOff>0</xdr:colOff>
      <xdr:row>28</xdr:row>
      <xdr:rowOff>98594</xdr:rowOff>
    </xdr:from>
    <xdr:to>
      <xdr:col>10</xdr:col>
      <xdr:colOff>825499</xdr:colOff>
      <xdr:row>28</xdr:row>
      <xdr:rowOff>99652</xdr:rowOff>
    </xdr:to>
    <xdr:cxnSp macro="">
      <xdr:nvCxnSpPr>
        <xdr:cNvPr id="8" name="Straight Arrow Connector 7">
          <a:extLst>
            <a:ext uri="{FF2B5EF4-FFF2-40B4-BE49-F238E27FC236}">
              <a16:creationId xmlns:a16="http://schemas.microsoft.com/office/drawing/2014/main" id="{8E8DE2F7-FA5B-AD4D-B703-70B3EA34E3D4}"/>
            </a:ext>
          </a:extLst>
        </xdr:cNvPr>
        <xdr:cNvCxnSpPr/>
      </xdr:nvCxnSpPr>
      <xdr:spPr>
        <a:xfrm>
          <a:off x="4868333" y="5691050"/>
          <a:ext cx="4925148" cy="1058"/>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8</xdr:col>
      <xdr:colOff>36524</xdr:colOff>
      <xdr:row>61</xdr:row>
      <xdr:rowOff>84543</xdr:rowOff>
    </xdr:from>
    <xdr:ext cx="2148616" cy="236220"/>
    <xdr:sp macro="" textlink="">
      <xdr:nvSpPr>
        <xdr:cNvPr id="20" name="TextBox 19">
          <a:extLst>
            <a:ext uri="{FF2B5EF4-FFF2-40B4-BE49-F238E27FC236}">
              <a16:creationId xmlns:a16="http://schemas.microsoft.com/office/drawing/2014/main" id="{DBEA6DC6-3B68-C04E-94BF-A01520BEF2D1}"/>
            </a:ext>
          </a:extLst>
        </xdr:cNvPr>
        <xdr:cNvSpPr txBox="1"/>
      </xdr:nvSpPr>
      <xdr:spPr>
        <a:xfrm>
          <a:off x="7258591" y="12420476"/>
          <a:ext cx="2148616" cy="236220"/>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Hint: yes or no, with brief explanation</a:t>
          </a:r>
          <a:endParaRPr lang="en-US" sz="900">
            <a:solidFill>
              <a:srgbClr val="FF0000"/>
            </a:solidFill>
          </a:endParaRPr>
        </a:p>
      </xdr:txBody>
    </xdr:sp>
    <xdr:clientData/>
  </xdr:oneCellAnchor>
  <xdr:oneCellAnchor>
    <xdr:from>
      <xdr:col>4</xdr:col>
      <xdr:colOff>278252</xdr:colOff>
      <xdr:row>61</xdr:row>
      <xdr:rowOff>22282</xdr:rowOff>
    </xdr:from>
    <xdr:ext cx="3179043" cy="680452"/>
    <xdr:sp macro="" textlink="">
      <xdr:nvSpPr>
        <xdr:cNvPr id="21" name="TextBox 20">
          <a:extLst>
            <a:ext uri="{FF2B5EF4-FFF2-40B4-BE49-F238E27FC236}">
              <a16:creationId xmlns:a16="http://schemas.microsoft.com/office/drawing/2014/main" id="{BBA4375E-8E68-6C4D-BB79-FADBEB394B05}"/>
            </a:ext>
          </a:extLst>
        </xdr:cNvPr>
        <xdr:cNvSpPr txBox="1"/>
      </xdr:nvSpPr>
      <xdr:spPr>
        <a:xfrm>
          <a:off x="3892867" y="11720936"/>
          <a:ext cx="3179043" cy="680452"/>
        </a:xfrm>
        <a:prstGeom prst="rect">
          <a:avLst/>
        </a:prstGeom>
        <a:solidFill>
          <a:schemeClr val="bg1"/>
        </a:solidFill>
        <a:ln w="12700">
          <a:solidFill>
            <a:srgbClr val="FFC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000" i="1">
              <a:solidFill>
                <a:schemeClr val="tx1"/>
              </a:solidFill>
            </a:rPr>
            <a:t>Answer:</a:t>
          </a:r>
          <a:r>
            <a:rPr lang="en-US" sz="1000" i="0">
              <a:solidFill>
                <a:schemeClr val="tx1"/>
              </a:solidFill>
            </a:rPr>
            <a:t> No, </a:t>
          </a:r>
          <a:r>
            <a:rPr lang="en-US" sz="1100" b="0" i="0">
              <a:solidFill>
                <a:schemeClr val="tx1"/>
              </a:solidFill>
              <a:effectLst/>
              <a:latin typeface="+mn-lt"/>
              <a:ea typeface="+mn-ea"/>
              <a:cs typeface="+mn-cs"/>
            </a:rPr>
            <a:t>Even though the 20% discount doubled the units sold (from 10 to 20), the total gross margin decreased by $9,478.31.</a:t>
          </a:r>
          <a:endParaRPr lang="en-US" sz="1000" b="0" i="1">
            <a:solidFill>
              <a:schemeClr val="tx1"/>
            </a:solidFill>
          </a:endParaRPr>
        </a:p>
      </xdr:txBody>
    </xdr:sp>
    <xdr:clientData/>
  </xdr:oneCellAnchor>
  <xdr:oneCellAnchor>
    <xdr:from>
      <xdr:col>6</xdr:col>
      <xdr:colOff>397932</xdr:colOff>
      <xdr:row>28</xdr:row>
      <xdr:rowOff>177799</xdr:rowOff>
    </xdr:from>
    <xdr:ext cx="2717802" cy="406401"/>
    <xdr:sp macro="" textlink="">
      <xdr:nvSpPr>
        <xdr:cNvPr id="12" name="TextBox 11">
          <a:extLst>
            <a:ext uri="{FF2B5EF4-FFF2-40B4-BE49-F238E27FC236}">
              <a16:creationId xmlns:a16="http://schemas.microsoft.com/office/drawing/2014/main" id="{3BB8960F-FA4A-0345-9030-7C9C0DB69378}"/>
            </a:ext>
          </a:extLst>
        </xdr:cNvPr>
        <xdr:cNvSpPr txBox="1"/>
      </xdr:nvSpPr>
      <xdr:spPr>
        <a:xfrm>
          <a:off x="5342465" y="5901266"/>
          <a:ext cx="2717802" cy="406401"/>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solidFill>
                <a:srgbClr val="FF0000"/>
              </a:solidFill>
            </a:rPr>
            <a:t>Do</a:t>
          </a:r>
          <a:r>
            <a:rPr lang="en-US" sz="900" baseline="0">
              <a:solidFill>
                <a:srgbClr val="FF0000"/>
              </a:solidFill>
            </a:rPr>
            <a:t> not</a:t>
          </a:r>
          <a:r>
            <a:rPr lang="en-US" sz="900">
              <a:solidFill>
                <a:srgbClr val="FF0000"/>
              </a:solidFill>
            </a:rPr>
            <a:t> use the % formatting, as the box will not turn</a:t>
          </a:r>
          <a:r>
            <a:rPr lang="en-US" sz="900" baseline="0">
              <a:solidFill>
                <a:srgbClr val="FF0000"/>
              </a:solidFill>
            </a:rPr>
            <a:t> green if you do, even if it shpws the right answer</a:t>
          </a:r>
          <a:endParaRPr lang="en-US" sz="900">
            <a:solidFill>
              <a:srgbClr val="FF0000"/>
            </a:solidFill>
          </a:endParaRPr>
        </a:p>
      </xdr:txBody>
    </xdr:sp>
    <xdr:clientData/>
  </xdr:oneCellAnchor>
  <xdr:twoCellAnchor>
    <xdr:from>
      <xdr:col>4</xdr:col>
      <xdr:colOff>889000</xdr:colOff>
      <xdr:row>30</xdr:row>
      <xdr:rowOff>110068</xdr:rowOff>
    </xdr:from>
    <xdr:to>
      <xdr:col>6</xdr:col>
      <xdr:colOff>404615</xdr:colOff>
      <xdr:row>31</xdr:row>
      <xdr:rowOff>160867</xdr:rowOff>
    </xdr:to>
    <xdr:cxnSp macro="">
      <xdr:nvCxnSpPr>
        <xdr:cNvPr id="30" name="Straight Arrow Connector 29">
          <a:extLst>
            <a:ext uri="{FF2B5EF4-FFF2-40B4-BE49-F238E27FC236}">
              <a16:creationId xmlns:a16="http://schemas.microsoft.com/office/drawing/2014/main" id="{DA0F6983-9855-AB4B-A3AA-7DE654A2C99B}"/>
            </a:ext>
          </a:extLst>
        </xdr:cNvPr>
        <xdr:cNvCxnSpPr>
          <a:endCxn id="35" idx="1"/>
        </xdr:cNvCxnSpPr>
      </xdr:nvCxnSpPr>
      <xdr:spPr>
        <a:xfrm>
          <a:off x="4851400" y="6223001"/>
          <a:ext cx="497748" cy="245533"/>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863600</xdr:colOff>
      <xdr:row>29</xdr:row>
      <xdr:rowOff>110067</xdr:rowOff>
    </xdr:from>
    <xdr:to>
      <xdr:col>6</xdr:col>
      <xdr:colOff>431801</xdr:colOff>
      <xdr:row>29</xdr:row>
      <xdr:rowOff>110067</xdr:rowOff>
    </xdr:to>
    <xdr:cxnSp macro="">
      <xdr:nvCxnSpPr>
        <xdr:cNvPr id="36" name="Straight Arrow Connector 35">
          <a:extLst>
            <a:ext uri="{FF2B5EF4-FFF2-40B4-BE49-F238E27FC236}">
              <a16:creationId xmlns:a16="http://schemas.microsoft.com/office/drawing/2014/main" id="{B7F8355C-6878-8941-9756-1832DBDFC3A6}"/>
            </a:ext>
          </a:extLst>
        </xdr:cNvPr>
        <xdr:cNvCxnSpPr/>
      </xdr:nvCxnSpPr>
      <xdr:spPr>
        <a:xfrm>
          <a:off x="4826000" y="6028267"/>
          <a:ext cx="550334" cy="0"/>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9</xdr:col>
      <xdr:colOff>658285</xdr:colOff>
      <xdr:row>89</xdr:row>
      <xdr:rowOff>76200</xdr:rowOff>
    </xdr:from>
    <xdr:to>
      <xdr:col>16</xdr:col>
      <xdr:colOff>19051</xdr:colOff>
      <xdr:row>94</xdr:row>
      <xdr:rowOff>71185</xdr:rowOff>
    </xdr:to>
    <xdr:pic>
      <xdr:nvPicPr>
        <xdr:cNvPr id="19" name="Picture 18">
          <a:extLst>
            <a:ext uri="{FF2B5EF4-FFF2-40B4-BE49-F238E27FC236}">
              <a16:creationId xmlns:a16="http://schemas.microsoft.com/office/drawing/2014/main" id="{0347909A-7244-744C-97FB-4CE6F087A734}"/>
            </a:ext>
          </a:extLst>
        </xdr:cNvPr>
        <xdr:cNvPicPr>
          <a:picLocks noChangeAspect="1"/>
        </xdr:cNvPicPr>
      </xdr:nvPicPr>
      <xdr:blipFill>
        <a:blip xmlns:r="http://schemas.openxmlformats.org/officeDocument/2006/relationships" r:embed="rId9"/>
        <a:stretch>
          <a:fillRect/>
        </a:stretch>
      </xdr:blipFill>
      <xdr:spPr>
        <a:xfrm>
          <a:off x="8760885" y="17890067"/>
          <a:ext cx="5524499" cy="968651"/>
        </a:xfrm>
        <a:prstGeom prst="rect">
          <a:avLst/>
        </a:prstGeom>
      </xdr:spPr>
    </xdr:pic>
    <xdr:clientData/>
  </xdr:twoCellAnchor>
  <xdr:twoCellAnchor>
    <xdr:from>
      <xdr:col>7</xdr:col>
      <xdr:colOff>499534</xdr:colOff>
      <xdr:row>90</xdr:row>
      <xdr:rowOff>132820</xdr:rowOff>
    </xdr:from>
    <xdr:to>
      <xdr:col>13</xdr:col>
      <xdr:colOff>147109</xdr:colOff>
      <xdr:row>91</xdr:row>
      <xdr:rowOff>138641</xdr:rowOff>
    </xdr:to>
    <xdr:cxnSp macro="">
      <xdr:nvCxnSpPr>
        <xdr:cNvPr id="22" name="Straight Arrow Connector 21">
          <a:extLst>
            <a:ext uri="{FF2B5EF4-FFF2-40B4-BE49-F238E27FC236}">
              <a16:creationId xmlns:a16="http://schemas.microsoft.com/office/drawing/2014/main" id="{2EBE1E3C-4840-704D-B605-DC8CD802D4B6}"/>
            </a:ext>
          </a:extLst>
        </xdr:cNvPr>
        <xdr:cNvCxnSpPr/>
      </xdr:nvCxnSpPr>
      <xdr:spPr>
        <a:xfrm>
          <a:off x="6654801" y="18141420"/>
          <a:ext cx="5117041" cy="20055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194141</xdr:colOff>
      <xdr:row>135</xdr:row>
      <xdr:rowOff>16177</xdr:rowOff>
    </xdr:from>
    <xdr:to>
      <xdr:col>13</xdr:col>
      <xdr:colOff>787400</xdr:colOff>
      <xdr:row>144</xdr:row>
      <xdr:rowOff>137515</xdr:rowOff>
    </xdr:to>
    <xdr:sp macro="" textlink="">
      <xdr:nvSpPr>
        <xdr:cNvPr id="14" name="TextBox 13">
          <a:extLst>
            <a:ext uri="{FF2B5EF4-FFF2-40B4-BE49-F238E27FC236}">
              <a16:creationId xmlns:a16="http://schemas.microsoft.com/office/drawing/2014/main" id="{4300D438-6697-FE42-8455-C86C827C00DF}"/>
            </a:ext>
          </a:extLst>
        </xdr:cNvPr>
        <xdr:cNvSpPr txBox="1"/>
      </xdr:nvSpPr>
      <xdr:spPr>
        <a:xfrm>
          <a:off x="194141" y="26923244"/>
          <a:ext cx="12217992" cy="14167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900" i="1"/>
            <a:t>AI tool used</a:t>
          </a:r>
          <a:r>
            <a:rPr lang="en-US" sz="900" i="1" baseline="0"/>
            <a:t>: </a:t>
          </a:r>
        </a:p>
        <a:p>
          <a:r>
            <a:rPr lang="en-US" sz="900" i="1"/>
            <a:t>I entered</a:t>
          </a:r>
          <a:r>
            <a:rPr lang="en-US" sz="900" i="1" baseline="0"/>
            <a:t> the following prompt(s): </a:t>
          </a:r>
        </a:p>
        <a:p>
          <a:endParaRPr lang="en-US" sz="1100" baseline="0"/>
        </a:p>
        <a:p>
          <a:r>
            <a:rPr lang="en-US" sz="900" i="1" baseline="0"/>
            <a:t>I used the output to / I modified the output to: [expand as necessary]</a:t>
          </a:r>
        </a:p>
        <a:p>
          <a:endParaRPr lang="en-US" sz="1100"/>
        </a:p>
      </xdr:txBody>
    </xdr:sp>
    <xdr:clientData/>
  </xdr:twoCellAnchor>
  <xdr:twoCellAnchor>
    <xdr:from>
      <xdr:col>4</xdr:col>
      <xdr:colOff>872067</xdr:colOff>
      <xdr:row>20</xdr:row>
      <xdr:rowOff>186266</xdr:rowOff>
    </xdr:from>
    <xdr:to>
      <xdr:col>7</xdr:col>
      <xdr:colOff>201504</xdr:colOff>
      <xdr:row>21</xdr:row>
      <xdr:rowOff>153458</xdr:rowOff>
    </xdr:to>
    <xdr:cxnSp macro="">
      <xdr:nvCxnSpPr>
        <xdr:cNvPr id="26" name="Straight Arrow Connector 25">
          <a:extLst>
            <a:ext uri="{FF2B5EF4-FFF2-40B4-BE49-F238E27FC236}">
              <a16:creationId xmlns:a16="http://schemas.microsoft.com/office/drawing/2014/main" id="{E4A28743-4FDA-4B54-9D36-D6670C59EFC0}"/>
            </a:ext>
          </a:extLst>
        </xdr:cNvPr>
        <xdr:cNvCxnSpPr/>
      </xdr:nvCxnSpPr>
      <xdr:spPr>
        <a:xfrm>
          <a:off x="4453467" y="4142316"/>
          <a:ext cx="1361437" cy="164042"/>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5</xdr:col>
      <xdr:colOff>27387</xdr:colOff>
      <xdr:row>93</xdr:row>
      <xdr:rowOff>183211</xdr:rowOff>
    </xdr:from>
    <xdr:ext cx="11632190" cy="576618"/>
    <xdr:sp macro="" textlink="">
      <xdr:nvSpPr>
        <xdr:cNvPr id="29" name="TextBox 28">
          <a:extLst>
            <a:ext uri="{FF2B5EF4-FFF2-40B4-BE49-F238E27FC236}">
              <a16:creationId xmlns:a16="http://schemas.microsoft.com/office/drawing/2014/main" id="{32920E2F-5971-67EC-71B4-A1DE9BF57C8C}"/>
            </a:ext>
          </a:extLst>
        </xdr:cNvPr>
        <xdr:cNvSpPr txBox="1"/>
      </xdr:nvSpPr>
      <xdr:spPr>
        <a:xfrm>
          <a:off x="4482156" y="17850865"/>
          <a:ext cx="11632190" cy="576618"/>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t>Answer</a:t>
          </a:r>
          <a:r>
            <a:rPr lang="en-US" sz="1050" b="1" baseline="0"/>
            <a:t> for Q9: </a:t>
          </a:r>
          <a:r>
            <a:rPr lang="en-US" sz="1100" b="0" i="0">
              <a:solidFill>
                <a:schemeClr val="tx1"/>
              </a:solidFill>
              <a:effectLst/>
              <a:latin typeface="+mn-lt"/>
              <a:ea typeface="+mn-ea"/>
              <a:cs typeface="+mn-cs"/>
            </a:rPr>
            <a:t>Longest duration: 244.5 minutes (P80). This is about 4 hours to complete a single survey! That's quite liong; on average, people complete the survey in just 4 to 30 minutes. This person may have left the survey open and came back later, or got stuck.</a:t>
          </a:r>
          <a:r>
            <a:rPr lang="en-US" sz="1050" b="0" i="0" baseline="0">
              <a:solidFill>
                <a:schemeClr val="tx1"/>
              </a:solidFill>
              <a:effectLst/>
              <a:latin typeface="+mn-lt"/>
              <a:ea typeface="+mn-ea"/>
              <a:cs typeface="+mn-cs"/>
            </a:rPr>
            <a:t> Shortest duration: 3.95 minutes (P81, or 237 seconds). Instruction within the survey says that respondents need approximately 240 seconds to properly read and complete the survey. So 237 seconds is below the minimum. This person may have rushed through without reading, or clicked randomly, </a:t>
          </a:r>
          <a:r>
            <a:rPr lang="en-US" sz="1100" b="0" i="0">
              <a:solidFill>
                <a:schemeClr val="tx1"/>
              </a:solidFill>
              <a:effectLst/>
              <a:latin typeface="+mn-lt"/>
              <a:ea typeface="+mn-ea"/>
              <a:cs typeface="+mn-cs"/>
            </a:rPr>
            <a:t>so data may not be credible for this respondent.</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11</xdr:col>
      <xdr:colOff>31931</xdr:colOff>
      <xdr:row>0</xdr:row>
      <xdr:rowOff>103777</xdr:rowOff>
    </xdr:from>
    <xdr:ext cx="3627120" cy="3376023"/>
    <xdr:sp macro="" textlink="">
      <xdr:nvSpPr>
        <xdr:cNvPr id="3" name="TextBox 2">
          <a:extLst>
            <a:ext uri="{FF2B5EF4-FFF2-40B4-BE49-F238E27FC236}">
              <a16:creationId xmlns:a16="http://schemas.microsoft.com/office/drawing/2014/main" id="{8D8177CF-A44F-1741-AC99-76E67F8D57C9}"/>
            </a:ext>
          </a:extLst>
        </xdr:cNvPr>
        <xdr:cNvSpPr txBox="1"/>
      </xdr:nvSpPr>
      <xdr:spPr>
        <a:xfrm>
          <a:off x="9524274" y="103777"/>
          <a:ext cx="3627120" cy="3376023"/>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t>Rationale:</a:t>
          </a:r>
        </a:p>
        <a:p>
          <a:r>
            <a:rPr lang="en-US" sz="1050"/>
            <a:t>First, we look at </a:t>
          </a:r>
          <a:r>
            <a:rPr lang="en-US" sz="1050">
              <a:solidFill>
                <a:srgbClr val="FF0000"/>
              </a:solidFill>
            </a:rPr>
            <a:t>dashboards</a:t>
          </a:r>
          <a:r>
            <a:rPr lang="en-US" sz="1050"/>
            <a:t>, using the Warehouse Group's Income Statement for the financial</a:t>
          </a:r>
          <a:r>
            <a:rPr lang="en-US" sz="1050" baseline="0"/>
            <a:t> </a:t>
          </a:r>
          <a:r>
            <a:rPr lang="en-US" sz="1050"/>
            <a:t>years (ending June) 2021-2023. This is a simple dashboard, but it gets across the idea of how we can use indicators to flag deviation from norms (eg budget or last year's performance). {Have a look at how the lights are configured, by clicking on a cell with a traffic light, and selecting 'Conditional Formatting' and then Icon Sets &gt; More Rules.}</a:t>
          </a:r>
        </a:p>
        <a:p>
          <a:r>
            <a:rPr lang="en-US" sz="1050"/>
            <a:t>Second, we analyse the knowledge</a:t>
          </a:r>
          <a:r>
            <a:rPr lang="en-US" sz="1050" baseline="0"/>
            <a:t> </a:t>
          </a:r>
          <a:r>
            <a:rPr lang="en-US" sz="1050"/>
            <a:t>questions (columns AI, AJ and AK of the SustainabilityData-10%sample file). {There is a simpler way to do all this, which we will learn in a later lab: PivotTables.}</a:t>
          </a:r>
        </a:p>
        <a:p>
          <a:r>
            <a:rPr lang="en-US" sz="1050"/>
            <a:t>Third, we construct a </a:t>
          </a:r>
          <a:r>
            <a:rPr lang="en-US" sz="1050">
              <a:solidFill>
                <a:srgbClr val="FF0000"/>
              </a:solidFill>
            </a:rPr>
            <a:t>column chart </a:t>
          </a:r>
          <a:r>
            <a:rPr lang="en-US" sz="1050"/>
            <a:t>of the subjective knowledge frequencies, and then a </a:t>
          </a:r>
          <a:r>
            <a:rPr lang="en-US" sz="1050">
              <a:solidFill>
                <a:srgbClr val="FF0000"/>
              </a:solidFill>
            </a:rPr>
            <a:t>pie chart </a:t>
          </a:r>
          <a:r>
            <a:rPr lang="en-US" sz="1050"/>
            <a:t>of the gender frequencies from Lab 1. These are pretty simple charts, to practice your graphing skills. It helps to label the axes and have legends and chart titles, particularly for the column chart. (We will do more of this in Lab 3.)</a:t>
          </a:r>
        </a:p>
      </xdr:txBody>
    </xdr:sp>
    <xdr:clientData/>
  </xdr:oneCellAnchor>
  <xdr:twoCellAnchor editAs="oneCell">
    <xdr:from>
      <xdr:col>0</xdr:col>
      <xdr:colOff>187960</xdr:colOff>
      <xdr:row>69</xdr:row>
      <xdr:rowOff>67419</xdr:rowOff>
    </xdr:from>
    <xdr:to>
      <xdr:col>0</xdr:col>
      <xdr:colOff>1041400</xdr:colOff>
      <xdr:row>70</xdr:row>
      <xdr:rowOff>132443</xdr:rowOff>
    </xdr:to>
    <xdr:pic>
      <xdr:nvPicPr>
        <xdr:cNvPr id="26" name="Picture 25">
          <a:extLst>
            <a:ext uri="{FF2B5EF4-FFF2-40B4-BE49-F238E27FC236}">
              <a16:creationId xmlns:a16="http://schemas.microsoft.com/office/drawing/2014/main" id="{9A5B3685-117E-5747-B7BA-25358665713C}"/>
            </a:ext>
          </a:extLst>
        </xdr:cNvPr>
        <xdr:cNvPicPr>
          <a:picLocks noChangeAspect="1"/>
        </xdr:cNvPicPr>
      </xdr:nvPicPr>
      <xdr:blipFill>
        <a:blip xmlns:r="http://schemas.openxmlformats.org/officeDocument/2006/relationships" r:embed="rId1"/>
        <a:stretch>
          <a:fillRect/>
        </a:stretch>
      </xdr:blipFill>
      <xdr:spPr>
        <a:xfrm>
          <a:off x="187960" y="14853848"/>
          <a:ext cx="853440" cy="264595"/>
        </a:xfrm>
        <a:prstGeom prst="rect">
          <a:avLst/>
        </a:prstGeom>
      </xdr:spPr>
    </xdr:pic>
    <xdr:clientData/>
  </xdr:twoCellAnchor>
  <xdr:twoCellAnchor editAs="oneCell">
    <xdr:from>
      <xdr:col>0</xdr:col>
      <xdr:colOff>1102360</xdr:colOff>
      <xdr:row>69</xdr:row>
      <xdr:rowOff>58783</xdr:rowOff>
    </xdr:from>
    <xdr:to>
      <xdr:col>0</xdr:col>
      <xdr:colOff>1587026</xdr:colOff>
      <xdr:row>72</xdr:row>
      <xdr:rowOff>11612</xdr:rowOff>
    </xdr:to>
    <xdr:pic>
      <xdr:nvPicPr>
        <xdr:cNvPr id="27" name="Picture 26">
          <a:extLst>
            <a:ext uri="{FF2B5EF4-FFF2-40B4-BE49-F238E27FC236}">
              <a16:creationId xmlns:a16="http://schemas.microsoft.com/office/drawing/2014/main" id="{304ABE6F-4853-BB4D-9DA1-A976CE739EF2}"/>
            </a:ext>
          </a:extLst>
        </xdr:cNvPr>
        <xdr:cNvPicPr>
          <a:picLocks noChangeAspect="1"/>
        </xdr:cNvPicPr>
      </xdr:nvPicPr>
      <xdr:blipFill>
        <a:blip xmlns:r="http://schemas.openxmlformats.org/officeDocument/2006/relationships" r:embed="rId2"/>
        <a:stretch>
          <a:fillRect/>
        </a:stretch>
      </xdr:blipFill>
      <xdr:spPr>
        <a:xfrm>
          <a:off x="1102360" y="14845212"/>
          <a:ext cx="484666" cy="551543"/>
        </a:xfrm>
        <a:prstGeom prst="rect">
          <a:avLst/>
        </a:prstGeom>
      </xdr:spPr>
    </xdr:pic>
    <xdr:clientData/>
  </xdr:twoCellAnchor>
  <xdr:twoCellAnchor editAs="oneCell">
    <xdr:from>
      <xdr:col>1</xdr:col>
      <xdr:colOff>299720</xdr:colOff>
      <xdr:row>69</xdr:row>
      <xdr:rowOff>48623</xdr:rowOff>
    </xdr:from>
    <xdr:to>
      <xdr:col>4</xdr:col>
      <xdr:colOff>31568</xdr:colOff>
      <xdr:row>72</xdr:row>
      <xdr:rowOff>69872</xdr:rowOff>
    </xdr:to>
    <xdr:pic>
      <xdr:nvPicPr>
        <xdr:cNvPr id="28" name="Picture 27">
          <a:extLst>
            <a:ext uri="{FF2B5EF4-FFF2-40B4-BE49-F238E27FC236}">
              <a16:creationId xmlns:a16="http://schemas.microsoft.com/office/drawing/2014/main" id="{6A481A52-401F-CB4A-A7AB-A1119C987E37}"/>
            </a:ext>
          </a:extLst>
        </xdr:cNvPr>
        <xdr:cNvPicPr>
          <a:picLocks noChangeAspect="1"/>
        </xdr:cNvPicPr>
      </xdr:nvPicPr>
      <xdr:blipFill>
        <a:blip xmlns:r="http://schemas.openxmlformats.org/officeDocument/2006/relationships" r:embed="rId3"/>
        <a:stretch>
          <a:fillRect/>
        </a:stretch>
      </xdr:blipFill>
      <xdr:spPr>
        <a:xfrm>
          <a:off x="2141220" y="14835052"/>
          <a:ext cx="2498634" cy="619963"/>
        </a:xfrm>
        <a:prstGeom prst="rect">
          <a:avLst/>
        </a:prstGeom>
      </xdr:spPr>
    </xdr:pic>
    <xdr:clientData/>
  </xdr:twoCellAnchor>
  <xdr:oneCellAnchor>
    <xdr:from>
      <xdr:col>8</xdr:col>
      <xdr:colOff>151563</xdr:colOff>
      <xdr:row>37</xdr:row>
      <xdr:rowOff>83132</xdr:rowOff>
    </xdr:from>
    <xdr:ext cx="3008280" cy="761905"/>
    <xdr:sp macro="" textlink="">
      <xdr:nvSpPr>
        <xdr:cNvPr id="35" name="TextBox 34">
          <a:extLst>
            <a:ext uri="{FF2B5EF4-FFF2-40B4-BE49-F238E27FC236}">
              <a16:creationId xmlns:a16="http://schemas.microsoft.com/office/drawing/2014/main" id="{E5C3378A-1FCF-8045-9517-339FCA43FE2A}"/>
            </a:ext>
          </a:extLst>
        </xdr:cNvPr>
        <xdr:cNvSpPr txBox="1"/>
      </xdr:nvSpPr>
      <xdr:spPr>
        <a:xfrm>
          <a:off x="8152563" y="8401632"/>
          <a:ext cx="3008280" cy="761905"/>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a:t>Note Excel requires the worksheet name to be specified, and in single quotes with an exclamation mark after, if you are referring to a different sheet. The worksheet name is optional if</a:t>
          </a:r>
          <a:r>
            <a:rPr lang="en-US" sz="800" baseline="0"/>
            <a:t> referring to the current sheet. The easiest way to get this right is to click on the desired cell (or range) when building the formula.</a:t>
          </a:r>
          <a:endParaRPr lang="en-US" sz="800" b="1">
            <a:solidFill>
              <a:srgbClr val="FF0000"/>
            </a:solidFill>
          </a:endParaRPr>
        </a:p>
      </xdr:txBody>
    </xdr:sp>
    <xdr:clientData/>
  </xdr:oneCellAnchor>
  <xdr:oneCellAnchor>
    <xdr:from>
      <xdr:col>0</xdr:col>
      <xdr:colOff>146538</xdr:colOff>
      <xdr:row>49</xdr:row>
      <xdr:rowOff>45358</xdr:rowOff>
    </xdr:from>
    <xdr:ext cx="9522236" cy="1024955"/>
    <xdr:sp macro="" textlink="">
      <xdr:nvSpPr>
        <xdr:cNvPr id="41" name="TextBox 40">
          <a:extLst>
            <a:ext uri="{FF2B5EF4-FFF2-40B4-BE49-F238E27FC236}">
              <a16:creationId xmlns:a16="http://schemas.microsoft.com/office/drawing/2014/main" id="{98450B5A-F00D-2B4B-A06C-4D361285B358}"/>
            </a:ext>
          </a:extLst>
        </xdr:cNvPr>
        <xdr:cNvSpPr txBox="1"/>
      </xdr:nvSpPr>
      <xdr:spPr>
        <a:xfrm>
          <a:off x="146538" y="10468943"/>
          <a:ext cx="9522236" cy="1024955"/>
        </a:xfrm>
        <a:prstGeom prst="rect">
          <a:avLst/>
        </a:prstGeom>
        <a:solidFill>
          <a:schemeClr val="bg1"/>
        </a:solidFill>
        <a:ln>
          <a:solidFill>
            <a:srgbClr val="92D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solidFill>
                <a:schemeClr val="tx1"/>
              </a:solidFill>
            </a:rPr>
            <a:t>Answer for Step 2:</a:t>
          </a:r>
        </a:p>
        <a:p>
          <a:r>
            <a:rPr lang="en-US" sz="1000">
              <a:solidFill>
                <a:schemeClr val="tx1"/>
              </a:solidFill>
            </a:rPr>
            <a:t>When</a:t>
          </a:r>
          <a:r>
            <a:rPr lang="en-US" sz="1000" baseline="0">
              <a:solidFill>
                <a:schemeClr val="tx1"/>
              </a:solidFill>
            </a:rPr>
            <a:t> I</a:t>
          </a:r>
          <a:r>
            <a:rPr lang="en-US" sz="1000">
              <a:solidFill>
                <a:schemeClr val="tx1"/>
              </a:solidFill>
            </a:rPr>
            <a:t> take away the sign, the reference number 43 moves</a:t>
          </a:r>
          <a:r>
            <a:rPr lang="en-US" sz="1000" baseline="0">
              <a:solidFill>
                <a:schemeClr val="tx1"/>
              </a:solidFill>
            </a:rPr>
            <a:t> </a:t>
          </a:r>
          <a:r>
            <a:rPr lang="en-US" sz="1000">
              <a:solidFill>
                <a:schemeClr val="tx1"/>
              </a:solidFill>
            </a:rPr>
            <a:t>down to 44, when I copy the formula. </a:t>
          </a:r>
          <a:r>
            <a:rPr lang="en-US" sz="1000" baseline="0">
              <a:solidFill>
                <a:schemeClr val="tx1"/>
              </a:solidFill>
            </a:rPr>
            <a:t>and </a:t>
          </a:r>
          <a:r>
            <a:rPr lang="en-US" sz="1000">
              <a:solidFill>
                <a:schemeClr val="tx1"/>
              </a:solidFill>
            </a:rPr>
            <a:t>Cell B44 is empty. When Excel tries to divide by an empty cell, it breaks and shows a "#DIV/0!" error. The sign stops the number from moving.</a:t>
          </a:r>
        </a:p>
        <a:p>
          <a:r>
            <a:rPr lang="en-US" sz="1000">
              <a:solidFill>
                <a:schemeClr val="tx1"/>
              </a:solidFill>
            </a:rPr>
            <a:t>Answer for Step 4:</a:t>
          </a:r>
        </a:p>
        <a:p>
          <a:r>
            <a:rPr lang="en-US" sz="1000">
              <a:solidFill>
                <a:schemeClr val="tx1"/>
              </a:solidFill>
            </a:rPr>
            <a:t>Most people said that they have a medium to good amount of knowledge. The biggest numbers are for answers 3 and 4. Very few people picked 5. This means they do not think they are experts, but they do know some things about sustainability.</a:t>
          </a:r>
        </a:p>
      </xdr:txBody>
    </xdr:sp>
    <xdr:clientData/>
  </xdr:oneCellAnchor>
  <xdr:oneCellAnchor>
    <xdr:from>
      <xdr:col>0</xdr:col>
      <xdr:colOff>0</xdr:colOff>
      <xdr:row>24</xdr:row>
      <xdr:rowOff>1</xdr:rowOff>
    </xdr:from>
    <xdr:ext cx="10060214" cy="615462"/>
    <xdr:sp macro="" textlink="">
      <xdr:nvSpPr>
        <xdr:cNvPr id="42" name="TextBox 41">
          <a:extLst>
            <a:ext uri="{FF2B5EF4-FFF2-40B4-BE49-F238E27FC236}">
              <a16:creationId xmlns:a16="http://schemas.microsoft.com/office/drawing/2014/main" id="{3F1E02DB-91AA-B743-9F00-6463A8A32C5B}"/>
            </a:ext>
          </a:extLst>
        </xdr:cNvPr>
        <xdr:cNvSpPr txBox="1"/>
      </xdr:nvSpPr>
      <xdr:spPr>
        <a:xfrm>
          <a:off x="0" y="4826001"/>
          <a:ext cx="10060214" cy="615462"/>
        </a:xfrm>
        <a:prstGeom prst="rect">
          <a:avLst/>
        </a:prstGeom>
        <a:solidFill>
          <a:schemeClr val="bg1"/>
        </a:solidFill>
        <a:ln>
          <a:solidFill>
            <a:srgbClr val="92D05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i="1">
              <a:solidFill>
                <a:schemeClr val="tx1"/>
              </a:solidFill>
            </a:rPr>
            <a:t>Answer:</a:t>
          </a:r>
          <a:r>
            <a:rPr lang="en-US" sz="1000">
              <a:solidFill>
                <a:schemeClr val="tx1"/>
              </a:solidFill>
            </a:rPr>
            <a:t> </a:t>
          </a:r>
          <a:endParaRPr lang="en-US" sz="1100" b="0" i="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tx1"/>
              </a:solidFill>
              <a:effectLst/>
              <a:latin typeface="+mn-lt"/>
              <a:ea typeface="+mn-ea"/>
              <a:cs typeface="+mn-cs"/>
            </a:rPr>
            <a:t>From 2023 to 2024,</a:t>
          </a:r>
          <a:r>
            <a:rPr lang="en-US" sz="1100" b="0" i="0" baseline="0">
              <a:solidFill>
                <a:schemeClr val="tx1"/>
              </a:solidFill>
              <a:effectLst/>
              <a:latin typeface="+mn-lt"/>
              <a:ea typeface="+mn-ea"/>
              <a:cs typeface="+mn-cs"/>
            </a:rPr>
            <a:t> The s</a:t>
          </a:r>
          <a:r>
            <a:rPr lang="en-US" sz="1100" b="0" i="0">
              <a:solidFill>
                <a:schemeClr val="tx1"/>
              </a:solidFill>
              <a:effectLst/>
              <a:latin typeface="+mn-lt"/>
              <a:ea typeface="+mn-ea"/>
              <a:cs typeface="+mn-cs"/>
            </a:rPr>
            <a:t>ales dropped from $3,237m to $3,038m (-6.2%), but the COGS percentage stayed about the same (~66.4%), Therefore, GP</a:t>
          </a:r>
          <a:r>
            <a:rPr lang="en-US" sz="1100" b="0" i="0" baseline="0">
              <a:solidFill>
                <a:schemeClr val="tx1"/>
              </a:solidFill>
              <a:effectLst/>
              <a:latin typeface="+mn-lt"/>
              <a:ea typeface="+mn-ea"/>
              <a:cs typeface="+mn-cs"/>
            </a:rPr>
            <a:t> Percentage was</a:t>
          </a:r>
          <a:r>
            <a:rPr lang="en-US" sz="1100" b="0" i="0">
              <a:solidFill>
                <a:schemeClr val="tx1"/>
              </a:solidFill>
              <a:effectLst/>
              <a:latin typeface="+mn-lt"/>
              <a:ea typeface="+mn-ea"/>
              <a:cs typeface="+mn-cs"/>
            </a:rPr>
            <a:t> stable. EBIT dropped a lot</a:t>
          </a:r>
          <a:r>
            <a:rPr lang="en-US" sz="1100" b="0" i="0" baseline="0">
              <a:solidFill>
                <a:schemeClr val="tx1"/>
              </a:solidFill>
              <a:effectLst/>
              <a:latin typeface="+mn-lt"/>
              <a:ea typeface="+mn-ea"/>
              <a:cs typeface="+mn-cs"/>
            </a:rPr>
            <a:t> And from </a:t>
          </a:r>
          <a:r>
            <a:rPr lang="en-US" sz="1100" b="0" i="0">
              <a:solidFill>
                <a:schemeClr val="tx1"/>
              </a:solidFill>
              <a:effectLst/>
              <a:latin typeface="+mn-lt"/>
              <a:ea typeface="+mn-ea"/>
              <a:cs typeface="+mn-cs"/>
            </a:rPr>
            <a:t>2024 to 2025</a:t>
          </a:r>
          <a:r>
            <a:rPr lang="en-US" sz="1100" b="0" i="0" baseline="0">
              <a:solidFill>
                <a:schemeClr val="tx1"/>
              </a:solidFill>
              <a:effectLst/>
              <a:latin typeface="+mn-lt"/>
              <a:ea typeface="+mn-ea"/>
              <a:cs typeface="+mn-cs"/>
            </a:rPr>
            <a:t> the s</a:t>
          </a:r>
          <a:r>
            <a:rPr lang="en-US" sz="1100" b="0" i="0">
              <a:solidFill>
                <a:schemeClr val="tx1"/>
              </a:solidFill>
              <a:effectLst/>
              <a:latin typeface="+mn-lt"/>
              <a:ea typeface="+mn-ea"/>
              <a:cs typeface="+mn-cs"/>
            </a:rPr>
            <a:t>ales increased slightly (+1.6%), but COGS</a:t>
          </a:r>
          <a:r>
            <a:rPr lang="en-US" sz="1100" b="0" i="0" baseline="0">
              <a:solidFill>
                <a:schemeClr val="tx1"/>
              </a:solidFill>
              <a:effectLst/>
              <a:latin typeface="+mn-lt"/>
              <a:ea typeface="+mn-ea"/>
              <a:cs typeface="+mn-cs"/>
            </a:rPr>
            <a:t> percentage</a:t>
          </a:r>
          <a:r>
            <a:rPr lang="en-US" sz="1100" b="0" i="0">
              <a:solidFill>
                <a:schemeClr val="tx1"/>
              </a:solidFill>
              <a:effectLst/>
              <a:latin typeface="+mn-lt"/>
              <a:ea typeface="+mn-ea"/>
              <a:cs typeface="+mn-cs"/>
            </a:rPr>
            <a:t> went up from 66.4% to 67.8%, making GP% go down. EBIT dropped sharply from $59.9m to $26.2m (a 56% fall).</a:t>
          </a:r>
        </a:p>
      </xdr:txBody>
    </xdr:sp>
    <xdr:clientData/>
  </xdr:oneCellAnchor>
  <xdr:twoCellAnchor editAs="oneCell">
    <xdr:from>
      <xdr:col>5</xdr:col>
      <xdr:colOff>9072</xdr:colOff>
      <xdr:row>53</xdr:row>
      <xdr:rowOff>27215</xdr:rowOff>
    </xdr:from>
    <xdr:to>
      <xdr:col>5</xdr:col>
      <xdr:colOff>471715</xdr:colOff>
      <xdr:row>56</xdr:row>
      <xdr:rowOff>84732</xdr:rowOff>
    </xdr:to>
    <xdr:pic>
      <xdr:nvPicPr>
        <xdr:cNvPr id="51" name="Picture 50">
          <a:extLst>
            <a:ext uri="{FF2B5EF4-FFF2-40B4-BE49-F238E27FC236}">
              <a16:creationId xmlns:a16="http://schemas.microsoft.com/office/drawing/2014/main" id="{809D8A09-571B-624D-BFA1-384C2DDFCB5D}"/>
            </a:ext>
          </a:extLst>
        </xdr:cNvPr>
        <xdr:cNvPicPr>
          <a:picLocks noChangeAspect="1"/>
        </xdr:cNvPicPr>
      </xdr:nvPicPr>
      <xdr:blipFill>
        <a:blip xmlns:r="http://schemas.openxmlformats.org/officeDocument/2006/relationships" r:embed="rId4"/>
        <a:stretch>
          <a:fillRect/>
        </a:stretch>
      </xdr:blipFill>
      <xdr:spPr>
        <a:xfrm>
          <a:off x="5370286" y="11783786"/>
          <a:ext cx="462643" cy="502017"/>
        </a:xfrm>
        <a:prstGeom prst="rect">
          <a:avLst/>
        </a:prstGeom>
      </xdr:spPr>
    </xdr:pic>
    <xdr:clientData/>
  </xdr:twoCellAnchor>
  <xdr:twoCellAnchor editAs="oneCell">
    <xdr:from>
      <xdr:col>5</xdr:col>
      <xdr:colOff>526142</xdr:colOff>
      <xdr:row>54</xdr:row>
      <xdr:rowOff>54427</xdr:rowOff>
    </xdr:from>
    <xdr:to>
      <xdr:col>6</xdr:col>
      <xdr:colOff>365094</xdr:colOff>
      <xdr:row>58</xdr:row>
      <xdr:rowOff>145141</xdr:rowOff>
    </xdr:to>
    <xdr:pic>
      <xdr:nvPicPr>
        <xdr:cNvPr id="52" name="Picture 51">
          <a:extLst>
            <a:ext uri="{FF2B5EF4-FFF2-40B4-BE49-F238E27FC236}">
              <a16:creationId xmlns:a16="http://schemas.microsoft.com/office/drawing/2014/main" id="{E1703B63-B2B5-EC4D-9630-7360D32639CE}"/>
            </a:ext>
          </a:extLst>
        </xdr:cNvPr>
        <xdr:cNvPicPr>
          <a:picLocks noChangeAspect="1"/>
        </xdr:cNvPicPr>
      </xdr:nvPicPr>
      <xdr:blipFill rotWithShape="1">
        <a:blip xmlns:r="http://schemas.openxmlformats.org/officeDocument/2006/relationships" r:embed="rId5"/>
        <a:srcRect t="17592"/>
        <a:stretch/>
      </xdr:blipFill>
      <xdr:spPr>
        <a:xfrm>
          <a:off x="5887356" y="11556998"/>
          <a:ext cx="718881" cy="807357"/>
        </a:xfrm>
        <a:prstGeom prst="rect">
          <a:avLst/>
        </a:prstGeom>
      </xdr:spPr>
    </xdr:pic>
    <xdr:clientData/>
  </xdr:twoCellAnchor>
  <xdr:twoCellAnchor>
    <xdr:from>
      <xdr:col>3</xdr:col>
      <xdr:colOff>635000</xdr:colOff>
      <xdr:row>54</xdr:row>
      <xdr:rowOff>117928</xdr:rowOff>
    </xdr:from>
    <xdr:to>
      <xdr:col>5</xdr:col>
      <xdr:colOff>190500</xdr:colOff>
      <xdr:row>57</xdr:row>
      <xdr:rowOff>54429</xdr:rowOff>
    </xdr:to>
    <xdr:cxnSp macro="">
      <xdr:nvCxnSpPr>
        <xdr:cNvPr id="53" name="Straight Arrow Connector 52">
          <a:extLst>
            <a:ext uri="{FF2B5EF4-FFF2-40B4-BE49-F238E27FC236}">
              <a16:creationId xmlns:a16="http://schemas.microsoft.com/office/drawing/2014/main" id="{10627238-C279-8244-A693-0F5FCBF58457}"/>
            </a:ext>
          </a:extLst>
        </xdr:cNvPr>
        <xdr:cNvCxnSpPr/>
      </xdr:nvCxnSpPr>
      <xdr:spPr>
        <a:xfrm flipH="1">
          <a:off x="4236357" y="12001499"/>
          <a:ext cx="1315357" cy="444501"/>
        </a:xfrm>
        <a:prstGeom prst="straightConnector1">
          <a:avLst/>
        </a:prstGeom>
        <a:ln w="25400">
          <a:solidFill>
            <a:srgbClr val="00B050"/>
          </a:solidFill>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10</xdr:col>
      <xdr:colOff>761999</xdr:colOff>
      <xdr:row>18</xdr:row>
      <xdr:rowOff>0</xdr:rowOff>
    </xdr:from>
    <xdr:ext cx="3583215" cy="870858"/>
    <xdr:sp macro="" textlink="">
      <xdr:nvSpPr>
        <xdr:cNvPr id="20" name="TextBox 19">
          <a:extLst>
            <a:ext uri="{FF2B5EF4-FFF2-40B4-BE49-F238E27FC236}">
              <a16:creationId xmlns:a16="http://schemas.microsoft.com/office/drawing/2014/main" id="{C72C38C2-91F7-4379-99A4-20B474EDDB09}"/>
            </a:ext>
          </a:extLst>
        </xdr:cNvPr>
        <xdr:cNvSpPr txBox="1"/>
      </xdr:nvSpPr>
      <xdr:spPr>
        <a:xfrm>
          <a:off x="10822213" y="3701143"/>
          <a:ext cx="3583215" cy="870858"/>
        </a:xfrm>
        <a:prstGeom prst="rect">
          <a:avLst/>
        </a:prstGeom>
        <a:solidFill>
          <a:schemeClr val="bg1"/>
        </a:solidFill>
        <a:ln>
          <a:solidFill>
            <a:srgbClr val="C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
            <a:t>What do the</a:t>
          </a:r>
          <a:r>
            <a:rPr lang="en-US" sz="800" baseline="0"/>
            <a:t> dashboard colours mean?</a:t>
          </a:r>
        </a:p>
        <a:p>
          <a:r>
            <a:rPr lang="en-US" sz="800" b="1" baseline="0">
              <a:solidFill>
                <a:srgbClr val="00B050"/>
              </a:solidFill>
            </a:rPr>
            <a:t>Green</a:t>
          </a:r>
          <a:r>
            <a:rPr lang="en-US" sz="800" b="0" baseline="0">
              <a:solidFill>
                <a:schemeClr val="tx1"/>
              </a:solidFill>
            </a:rPr>
            <a:t>: revenue is up, or costs are down, or a ratio has improved</a:t>
          </a:r>
        </a:p>
        <a:p>
          <a:r>
            <a:rPr lang="en-US" sz="800" b="1" baseline="0">
              <a:solidFill>
                <a:srgbClr val="FFC000"/>
              </a:solidFill>
            </a:rPr>
            <a:t>Orange</a:t>
          </a:r>
          <a:r>
            <a:rPr lang="en-US" sz="800" b="0" baseline="0">
              <a:solidFill>
                <a:schemeClr val="tx1"/>
              </a:solidFill>
            </a:rPr>
            <a:t>: revenue is down a bit, or costs are up a bit, or a ratio has worsened a bit</a:t>
          </a:r>
        </a:p>
        <a:p>
          <a:r>
            <a:rPr lang="en-US" sz="800" b="1" baseline="0">
              <a:solidFill>
                <a:srgbClr val="FF0000"/>
              </a:solidFill>
            </a:rPr>
            <a:t>Red</a:t>
          </a:r>
          <a:r>
            <a:rPr lang="en-US" sz="800" b="0" baseline="0">
              <a:solidFill>
                <a:schemeClr val="tx1"/>
              </a:solidFill>
            </a:rPr>
            <a:t>: up/down/worse a lot</a:t>
          </a:r>
        </a:p>
        <a:p>
          <a:r>
            <a:rPr lang="en-US" sz="800" b="0" baseline="0">
              <a:solidFill>
                <a:schemeClr val="tx1"/>
              </a:solidFill>
            </a:rPr>
            <a:t>To see how these are formatted: click on a coloured dotr, and from the Home ribbon click on 'Conditional Formatting' &gt; Manage Rules &gt; Edit Rule</a:t>
          </a:r>
        </a:p>
        <a:p>
          <a:endParaRPr lang="en-US" sz="800" b="0">
            <a:solidFill>
              <a:schemeClr val="tx1"/>
            </a:solidFill>
          </a:endParaRPr>
        </a:p>
      </xdr:txBody>
    </xdr:sp>
    <xdr:clientData/>
  </xdr:oneCellAnchor>
  <xdr:twoCellAnchor editAs="oneCell">
    <xdr:from>
      <xdr:col>3</xdr:col>
      <xdr:colOff>154215</xdr:colOff>
      <xdr:row>58</xdr:row>
      <xdr:rowOff>54429</xdr:rowOff>
    </xdr:from>
    <xdr:to>
      <xdr:col>6</xdr:col>
      <xdr:colOff>453571</xdr:colOff>
      <xdr:row>59</xdr:row>
      <xdr:rowOff>122053</xdr:rowOff>
    </xdr:to>
    <xdr:pic>
      <xdr:nvPicPr>
        <xdr:cNvPr id="31" name="Picture 30">
          <a:extLst>
            <a:ext uri="{FF2B5EF4-FFF2-40B4-BE49-F238E27FC236}">
              <a16:creationId xmlns:a16="http://schemas.microsoft.com/office/drawing/2014/main" id="{7AB1FCBC-EABB-1947-B629-A9C4352BD632}"/>
            </a:ext>
          </a:extLst>
        </xdr:cNvPr>
        <xdr:cNvPicPr>
          <a:picLocks noChangeAspect="1"/>
        </xdr:cNvPicPr>
      </xdr:nvPicPr>
      <xdr:blipFill>
        <a:blip xmlns:r="http://schemas.openxmlformats.org/officeDocument/2006/relationships" r:embed="rId6"/>
        <a:stretch>
          <a:fillRect/>
        </a:stretch>
      </xdr:blipFill>
      <xdr:spPr>
        <a:xfrm>
          <a:off x="3755572" y="12273643"/>
          <a:ext cx="2939142" cy="267195"/>
        </a:xfrm>
        <a:prstGeom prst="rect">
          <a:avLst/>
        </a:prstGeom>
      </xdr:spPr>
    </xdr:pic>
    <xdr:clientData/>
  </xdr:twoCellAnchor>
  <xdr:twoCellAnchor editAs="oneCell">
    <xdr:from>
      <xdr:col>6</xdr:col>
      <xdr:colOff>353787</xdr:colOff>
      <xdr:row>65</xdr:row>
      <xdr:rowOff>196439</xdr:rowOff>
    </xdr:from>
    <xdr:to>
      <xdr:col>10</xdr:col>
      <xdr:colOff>362858</xdr:colOff>
      <xdr:row>67</xdr:row>
      <xdr:rowOff>31669</xdr:rowOff>
    </xdr:to>
    <xdr:pic>
      <xdr:nvPicPr>
        <xdr:cNvPr id="32" name="Picture 31">
          <a:extLst>
            <a:ext uri="{FF2B5EF4-FFF2-40B4-BE49-F238E27FC236}">
              <a16:creationId xmlns:a16="http://schemas.microsoft.com/office/drawing/2014/main" id="{4B3DD672-87AF-A64E-9E58-ED7F47F27CD2}"/>
            </a:ext>
          </a:extLst>
        </xdr:cNvPr>
        <xdr:cNvPicPr>
          <a:picLocks noChangeAspect="1"/>
        </xdr:cNvPicPr>
      </xdr:nvPicPr>
      <xdr:blipFill>
        <a:blip xmlns:r="http://schemas.openxmlformats.org/officeDocument/2006/relationships" r:embed="rId7"/>
        <a:stretch>
          <a:fillRect/>
        </a:stretch>
      </xdr:blipFill>
      <xdr:spPr>
        <a:xfrm>
          <a:off x="6594930" y="13812653"/>
          <a:ext cx="3701142" cy="234373"/>
        </a:xfrm>
        <a:prstGeom prst="rect">
          <a:avLst/>
        </a:prstGeom>
      </xdr:spPr>
    </xdr:pic>
    <xdr:clientData/>
  </xdr:twoCellAnchor>
  <xdr:twoCellAnchor>
    <xdr:from>
      <xdr:col>2</xdr:col>
      <xdr:colOff>713014</xdr:colOff>
      <xdr:row>59</xdr:row>
      <xdr:rowOff>99785</xdr:rowOff>
    </xdr:from>
    <xdr:to>
      <xdr:col>6</xdr:col>
      <xdr:colOff>308428</xdr:colOff>
      <xdr:row>62</xdr:row>
      <xdr:rowOff>87085</xdr:rowOff>
    </xdr:to>
    <xdr:cxnSp macro="">
      <xdr:nvCxnSpPr>
        <xdr:cNvPr id="60" name="Straight Arrow Connector 59">
          <a:extLst>
            <a:ext uri="{FF2B5EF4-FFF2-40B4-BE49-F238E27FC236}">
              <a16:creationId xmlns:a16="http://schemas.microsoft.com/office/drawing/2014/main" id="{9C643D3A-C14D-7F43-85DB-F17AE2FE48D9}"/>
            </a:ext>
          </a:extLst>
        </xdr:cNvPr>
        <xdr:cNvCxnSpPr/>
      </xdr:nvCxnSpPr>
      <xdr:spPr>
        <a:xfrm flipH="1">
          <a:off x="3434443" y="12518571"/>
          <a:ext cx="3115128" cy="586014"/>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386444</xdr:colOff>
      <xdr:row>59</xdr:row>
      <xdr:rowOff>99785</xdr:rowOff>
    </xdr:from>
    <xdr:to>
      <xdr:col>4</xdr:col>
      <xdr:colOff>371928</xdr:colOff>
      <xdr:row>60</xdr:row>
      <xdr:rowOff>92529</xdr:rowOff>
    </xdr:to>
    <xdr:cxnSp macro="">
      <xdr:nvCxnSpPr>
        <xdr:cNvPr id="8" name="Straight Arrow Connector 7">
          <a:extLst>
            <a:ext uri="{FF2B5EF4-FFF2-40B4-BE49-F238E27FC236}">
              <a16:creationId xmlns:a16="http://schemas.microsoft.com/office/drawing/2014/main" id="{611FF11A-8522-FB48-ADA5-C691FB2131F3}"/>
            </a:ext>
          </a:extLst>
        </xdr:cNvPr>
        <xdr:cNvCxnSpPr>
          <a:cxnSpLocks/>
        </xdr:cNvCxnSpPr>
      </xdr:nvCxnSpPr>
      <xdr:spPr>
        <a:xfrm flipH="1">
          <a:off x="3987801" y="12518571"/>
          <a:ext cx="865413" cy="192315"/>
        </a:xfrm>
        <a:prstGeom prst="straightConnector1">
          <a:avLst/>
        </a:prstGeom>
        <a:ln w="25400">
          <a:prstDash val="sysDot"/>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408214</xdr:colOff>
      <xdr:row>59</xdr:row>
      <xdr:rowOff>81643</xdr:rowOff>
    </xdr:from>
    <xdr:to>
      <xdr:col>5</xdr:col>
      <xdr:colOff>0</xdr:colOff>
      <xdr:row>61</xdr:row>
      <xdr:rowOff>63500</xdr:rowOff>
    </xdr:to>
    <xdr:cxnSp macro="">
      <xdr:nvCxnSpPr>
        <xdr:cNvPr id="9" name="Straight Arrow Connector 8">
          <a:extLst>
            <a:ext uri="{FF2B5EF4-FFF2-40B4-BE49-F238E27FC236}">
              <a16:creationId xmlns:a16="http://schemas.microsoft.com/office/drawing/2014/main" id="{A34B0A8E-E187-4040-B8A7-01EFE0A8A54F}"/>
            </a:ext>
          </a:extLst>
        </xdr:cNvPr>
        <xdr:cNvCxnSpPr/>
      </xdr:nvCxnSpPr>
      <xdr:spPr>
        <a:xfrm flipH="1">
          <a:off x="4009571" y="12500429"/>
          <a:ext cx="1351643" cy="381000"/>
        </a:xfrm>
        <a:prstGeom prst="straightConnector1">
          <a:avLst/>
        </a:prstGeom>
        <a:ln w="12700">
          <a:prstDash val="solid"/>
          <a:headEnd type="triangle"/>
          <a:tailEnd type="non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9</xdr:col>
      <xdr:colOff>148231</xdr:colOff>
      <xdr:row>9</xdr:row>
      <xdr:rowOff>122669</xdr:rowOff>
    </xdr:from>
    <xdr:to>
      <xdr:col>9</xdr:col>
      <xdr:colOff>148591</xdr:colOff>
      <xdr:row>9</xdr:row>
      <xdr:rowOff>123029</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5" name="Ink 14">
              <a:extLst>
                <a:ext uri="{FF2B5EF4-FFF2-40B4-BE49-F238E27FC236}">
                  <a16:creationId xmlns:a16="http://schemas.microsoft.com/office/drawing/2014/main" id="{87C566CA-21C8-0CDF-4D91-3837432DA309}"/>
                </a:ext>
              </a:extLst>
            </xdr14:cNvPr>
            <xdr14:cNvContentPartPr/>
          </xdr14:nvContentPartPr>
          <xdr14:nvPr macro=""/>
          <xdr14:xfrm>
            <a:off x="9029160" y="2100240"/>
            <a:ext cx="360" cy="360"/>
          </xdr14:xfrm>
        </xdr:contentPart>
      </mc:Choice>
      <mc:Fallback xmlns="">
        <xdr:pic>
          <xdr:nvPicPr>
            <xdr:cNvPr id="15" name="Ink 14">
              <a:extLst>
                <a:ext uri="{FF2B5EF4-FFF2-40B4-BE49-F238E27FC236}">
                  <a16:creationId xmlns:a16="http://schemas.microsoft.com/office/drawing/2014/main" id="{87C566CA-21C8-0CDF-4D91-3837432DA309}"/>
                </a:ext>
              </a:extLst>
            </xdr:cNvPr>
            <xdr:cNvPicPr/>
          </xdr:nvPicPr>
          <xdr:blipFill>
            <a:blip xmlns:r="http://schemas.openxmlformats.org/officeDocument/2006/relationships" r:embed="rId10"/>
            <a:stretch>
              <a:fillRect/>
            </a:stretch>
          </xdr:blipFill>
          <xdr:spPr>
            <a:xfrm>
              <a:off x="9020160" y="2091600"/>
              <a:ext cx="18000" cy="18000"/>
            </a:xfrm>
            <a:prstGeom prst="rect">
              <a:avLst/>
            </a:prstGeom>
          </xdr:spPr>
        </xdr:pic>
      </mc:Fallback>
    </mc:AlternateContent>
    <xdr:clientData/>
  </xdr:twoCellAnchor>
  <xdr:twoCellAnchor>
    <xdr:from>
      <xdr:col>11</xdr:col>
      <xdr:colOff>404459</xdr:colOff>
      <xdr:row>122</xdr:row>
      <xdr:rowOff>0</xdr:rowOff>
    </xdr:from>
    <xdr:to>
      <xdr:col>14</xdr:col>
      <xdr:colOff>593852</xdr:colOff>
      <xdr:row>123</xdr:row>
      <xdr:rowOff>61929</xdr:rowOff>
    </xdr:to>
    <xdr:grpSp>
      <xdr:nvGrpSpPr>
        <xdr:cNvPr id="10" name="Group 9">
          <a:extLst>
            <a:ext uri="{FF2B5EF4-FFF2-40B4-BE49-F238E27FC236}">
              <a16:creationId xmlns:a16="http://schemas.microsoft.com/office/drawing/2014/main" id="{3E3256F9-24E6-DC34-F668-D5252E92F933}"/>
            </a:ext>
          </a:extLst>
        </xdr:cNvPr>
        <xdr:cNvGrpSpPr/>
      </xdr:nvGrpSpPr>
      <xdr:grpSpPr>
        <a:xfrm>
          <a:off x="10402513" y="24134262"/>
          <a:ext cx="2593017" cy="266493"/>
          <a:chOff x="11316752" y="25052166"/>
          <a:chExt cx="2810285" cy="264158"/>
        </a:xfrm>
      </xdr:grpSpPr>
      <xdr:pic>
        <xdr:nvPicPr>
          <xdr:cNvPr id="7" name="Picture 6">
            <a:extLst>
              <a:ext uri="{FF2B5EF4-FFF2-40B4-BE49-F238E27FC236}">
                <a16:creationId xmlns:a16="http://schemas.microsoft.com/office/drawing/2014/main" id="{EDACD3A0-0A4B-CE0D-DFCA-D157F3145FCE}"/>
              </a:ext>
            </a:extLst>
          </xdr:cNvPr>
          <xdr:cNvPicPr>
            <a:picLocks noChangeAspect="1"/>
          </xdr:cNvPicPr>
        </xdr:nvPicPr>
        <xdr:blipFill>
          <a:blip xmlns:r="http://schemas.openxmlformats.org/officeDocument/2006/relationships" r:embed="rId11"/>
          <a:stretch>
            <a:fillRect/>
          </a:stretch>
        </xdr:blipFill>
        <xdr:spPr>
          <a:xfrm>
            <a:off x="11316752" y="25052166"/>
            <a:ext cx="2810285" cy="191470"/>
          </a:xfrm>
          <a:prstGeom prst="rect">
            <a:avLst/>
          </a:prstGeom>
        </xdr:spPr>
      </xdr:pic>
      <xdr:sp macro="" textlink="">
        <xdr:nvSpPr>
          <xdr:cNvPr id="21" name="Oval 20">
            <a:extLst>
              <a:ext uri="{FF2B5EF4-FFF2-40B4-BE49-F238E27FC236}">
                <a16:creationId xmlns:a16="http://schemas.microsoft.com/office/drawing/2014/main" id="{3A79EDAD-DDDA-1147-9F15-09BCD9F967B1}"/>
              </a:ext>
            </a:extLst>
          </xdr:cNvPr>
          <xdr:cNvSpPr/>
        </xdr:nvSpPr>
        <xdr:spPr>
          <a:xfrm>
            <a:off x="13375341" y="25145383"/>
            <a:ext cx="171271" cy="170941"/>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pic>
        <xdr:nvPicPr>
          <xdr:cNvPr id="22" name="Picture 21">
            <a:extLst>
              <a:ext uri="{FF2B5EF4-FFF2-40B4-BE49-F238E27FC236}">
                <a16:creationId xmlns:a16="http://schemas.microsoft.com/office/drawing/2014/main" id="{435B3097-381F-A44F-910B-27110515EF70}"/>
              </a:ext>
            </a:extLst>
          </xdr:cNvPr>
          <xdr:cNvPicPr>
            <a:picLocks noChangeAspect="1"/>
          </xdr:cNvPicPr>
        </xdr:nvPicPr>
        <xdr:blipFill>
          <a:blip xmlns:r="http://schemas.openxmlformats.org/officeDocument/2006/relationships" r:embed="rId12"/>
          <a:stretch>
            <a:fillRect/>
          </a:stretch>
        </xdr:blipFill>
        <xdr:spPr>
          <a:xfrm>
            <a:off x="13564638" y="25097900"/>
            <a:ext cx="151438" cy="119659"/>
          </a:xfrm>
          <a:prstGeom prst="rect">
            <a:avLst/>
          </a:prstGeom>
        </xdr:spPr>
      </xdr:pic>
    </xdr:grpSp>
    <xdr:clientData/>
  </xdr:twoCellAnchor>
  <xdr:twoCellAnchor editAs="oneCell">
    <xdr:from>
      <xdr:col>6</xdr:col>
      <xdr:colOff>0</xdr:colOff>
      <xdr:row>9</xdr:row>
      <xdr:rowOff>190500</xdr:rowOff>
    </xdr:from>
    <xdr:to>
      <xdr:col>8</xdr:col>
      <xdr:colOff>13951</xdr:colOff>
      <xdr:row>11</xdr:row>
      <xdr:rowOff>3628</xdr:rowOff>
    </xdr:to>
    <xdr:pic>
      <xdr:nvPicPr>
        <xdr:cNvPr id="6" name="Picture 5">
          <a:extLst>
            <a:ext uri="{FF2B5EF4-FFF2-40B4-BE49-F238E27FC236}">
              <a16:creationId xmlns:a16="http://schemas.microsoft.com/office/drawing/2014/main" id="{5B52658B-8542-EE03-6450-4593B3667DA6}"/>
            </a:ext>
          </a:extLst>
        </xdr:cNvPr>
        <xdr:cNvPicPr>
          <a:picLocks noChangeAspect="1"/>
        </xdr:cNvPicPr>
      </xdr:nvPicPr>
      <xdr:blipFill>
        <a:blip xmlns:r="http://schemas.openxmlformats.org/officeDocument/2006/relationships" r:embed="rId13"/>
        <a:stretch>
          <a:fillRect/>
        </a:stretch>
      </xdr:blipFill>
      <xdr:spPr>
        <a:xfrm>
          <a:off x="6368143" y="2168071"/>
          <a:ext cx="1791951" cy="194128"/>
        </a:xfrm>
        <a:prstGeom prst="rect">
          <a:avLst/>
        </a:prstGeom>
      </xdr:spPr>
    </xdr:pic>
    <xdr:clientData/>
  </xdr:twoCellAnchor>
  <xdr:twoCellAnchor>
    <xdr:from>
      <xdr:col>0</xdr:col>
      <xdr:colOff>194141</xdr:colOff>
      <xdr:row>158</xdr:row>
      <xdr:rowOff>16177</xdr:rowOff>
    </xdr:from>
    <xdr:to>
      <xdr:col>12</xdr:col>
      <xdr:colOff>689429</xdr:colOff>
      <xdr:row>168</xdr:row>
      <xdr:rowOff>1444</xdr:rowOff>
    </xdr:to>
    <xdr:sp macro="" textlink="">
      <xdr:nvSpPr>
        <xdr:cNvPr id="2" name="TextBox 1">
          <a:extLst>
            <a:ext uri="{FF2B5EF4-FFF2-40B4-BE49-F238E27FC236}">
              <a16:creationId xmlns:a16="http://schemas.microsoft.com/office/drawing/2014/main" id="{016A9FFB-7AB9-154D-A461-27E5A5680B34}"/>
            </a:ext>
          </a:extLst>
        </xdr:cNvPr>
        <xdr:cNvSpPr txBox="1"/>
      </xdr:nvSpPr>
      <xdr:spPr>
        <a:xfrm>
          <a:off x="194141" y="31385177"/>
          <a:ext cx="12315359" cy="1345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900" i="1"/>
            <a:t>AI tool used</a:t>
          </a:r>
          <a:r>
            <a:rPr lang="en-US" sz="900" i="1" baseline="0"/>
            <a:t>: </a:t>
          </a:r>
        </a:p>
        <a:p>
          <a:r>
            <a:rPr lang="en-US" sz="900" i="1"/>
            <a:t>I entered</a:t>
          </a:r>
          <a:r>
            <a:rPr lang="en-US" sz="900" i="1" baseline="0"/>
            <a:t> the following prompt(s): </a:t>
          </a:r>
        </a:p>
        <a:p>
          <a:endParaRPr lang="en-US" sz="1100" baseline="0"/>
        </a:p>
        <a:p>
          <a:r>
            <a:rPr lang="en-US" sz="900" i="1" baseline="0"/>
            <a:t>I used the output to / I modified the output to: [expand as necessary]</a:t>
          </a:r>
        </a:p>
        <a:p>
          <a:endParaRPr lang="en-US" sz="1100"/>
        </a:p>
      </xdr:txBody>
    </xdr:sp>
    <xdr:clientData/>
  </xdr:twoCellAnchor>
  <xdr:twoCellAnchor editAs="oneCell">
    <xdr:from>
      <xdr:col>11</xdr:col>
      <xdr:colOff>530413</xdr:colOff>
      <xdr:row>136</xdr:row>
      <xdr:rowOff>37354</xdr:rowOff>
    </xdr:from>
    <xdr:to>
      <xdr:col>16</xdr:col>
      <xdr:colOff>197836</xdr:colOff>
      <xdr:row>144</xdr:row>
      <xdr:rowOff>5348</xdr:rowOff>
    </xdr:to>
    <xdr:pic>
      <xdr:nvPicPr>
        <xdr:cNvPr id="16" name="Picture 15">
          <a:extLst>
            <a:ext uri="{FF2B5EF4-FFF2-40B4-BE49-F238E27FC236}">
              <a16:creationId xmlns:a16="http://schemas.microsoft.com/office/drawing/2014/main" id="{939E859C-4487-EF47-B30E-2368D545FE61}"/>
            </a:ext>
          </a:extLst>
        </xdr:cNvPr>
        <xdr:cNvPicPr>
          <a:picLocks noChangeAspect="1"/>
        </xdr:cNvPicPr>
      </xdr:nvPicPr>
      <xdr:blipFill>
        <a:blip xmlns:r="http://schemas.openxmlformats.org/officeDocument/2006/relationships" r:embed="rId14"/>
        <a:stretch>
          <a:fillRect/>
        </a:stretch>
      </xdr:blipFill>
      <xdr:spPr>
        <a:xfrm>
          <a:off x="10518589" y="27282589"/>
          <a:ext cx="3328012" cy="1462112"/>
        </a:xfrm>
        <a:prstGeom prst="rect">
          <a:avLst/>
        </a:prstGeom>
      </xdr:spPr>
    </xdr:pic>
    <xdr:clientData/>
  </xdr:twoCellAnchor>
  <xdr:twoCellAnchor>
    <xdr:from>
      <xdr:col>0</xdr:col>
      <xdr:colOff>310625</xdr:colOff>
      <xdr:row>75</xdr:row>
      <xdr:rowOff>7621</xdr:rowOff>
    </xdr:from>
    <xdr:to>
      <xdr:col>4</xdr:col>
      <xdr:colOff>668166</xdr:colOff>
      <xdr:row>89</xdr:row>
      <xdr:rowOff>113751</xdr:rowOff>
    </xdr:to>
    <xdr:graphicFrame macro="">
      <xdr:nvGraphicFramePr>
        <xdr:cNvPr id="5" name="Chart 4">
          <a:extLst>
            <a:ext uri="{FF2B5EF4-FFF2-40B4-BE49-F238E27FC236}">
              <a16:creationId xmlns:a16="http://schemas.microsoft.com/office/drawing/2014/main" id="{8C7A2C78-2496-78F1-0C43-07F064B9E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190864</xdr:colOff>
      <xdr:row>100</xdr:row>
      <xdr:rowOff>15612</xdr:rowOff>
    </xdr:from>
    <xdr:to>
      <xdr:col>4</xdr:col>
      <xdr:colOff>548405</xdr:colOff>
      <xdr:row>114</xdr:row>
      <xdr:rowOff>154098</xdr:rowOff>
    </xdr:to>
    <xdr:graphicFrame macro="">
      <xdr:nvGraphicFramePr>
        <xdr:cNvPr id="4" name="Chart 3">
          <a:extLst>
            <a:ext uri="{FF2B5EF4-FFF2-40B4-BE49-F238E27FC236}">
              <a16:creationId xmlns:a16="http://schemas.microsoft.com/office/drawing/2014/main" id="{38833F20-E931-40A8-857B-3323D8C2C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149411</xdr:colOff>
      <xdr:row>135</xdr:row>
      <xdr:rowOff>119529</xdr:rowOff>
    </xdr:from>
    <xdr:to>
      <xdr:col>11</xdr:col>
      <xdr:colOff>298823</xdr:colOff>
      <xdr:row>152</xdr:row>
      <xdr:rowOff>29509</xdr:rowOff>
    </xdr:to>
    <xdr:graphicFrame macro="">
      <xdr:nvGraphicFramePr>
        <xdr:cNvPr id="18" name="Chart 17">
          <a:extLst>
            <a:ext uri="{FF2B5EF4-FFF2-40B4-BE49-F238E27FC236}">
              <a16:creationId xmlns:a16="http://schemas.microsoft.com/office/drawing/2014/main" id="{87645AC2-B31E-4074-9568-E423B4255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7-06T12:51:44.078"/>
    </inkml:context>
    <inkml:brush xml:id="br0">
      <inkml:brushProperty name="width" value="0.05" units="cm"/>
      <inkml:brushProperty name="height" value="0.05" units="cm"/>
    </inkml:brush>
  </inkml:definitions>
  <inkml:trace contextRef="#ctx0" brushRef="#br0">0 1 24575,'0'0'0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thewarehousegroup.co.nz/download_file/force/83c5e7a5-091c-45a0-8371-f47056936994/174" TargetMode="External"/><Relationship Id="rId1" Type="http://schemas.openxmlformats.org/officeDocument/2006/relationships/hyperlink" Target="https://www.thewarehousegroup.co.nz/download_file/force/5a624589-60db-46c4-ae0a-c630e68b01eb/174"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5"/>
  <sheetViews>
    <sheetView topLeftCell="A36" zoomScale="130" zoomScaleNormal="130" workbookViewId="0">
      <selection activeCell="C126" sqref="C126"/>
    </sheetView>
  </sheetViews>
  <sheetFormatPr defaultColWidth="11.453125" defaultRowHeight="14.5"/>
  <cols>
    <col min="1" max="1" width="17.1796875" customWidth="1"/>
    <col min="2" max="2" width="11.6328125" customWidth="1"/>
    <col min="4" max="4" width="11.453125" customWidth="1"/>
    <col min="5" max="5" width="12" customWidth="1"/>
    <col min="6" max="6" width="0.81640625" customWidth="1"/>
    <col min="7" max="7" width="15.81640625" customWidth="1"/>
    <col min="8" max="8" width="14" customWidth="1"/>
  </cols>
  <sheetData>
    <row r="1" spans="1:7" ht="26">
      <c r="A1" s="2" t="s">
        <v>326</v>
      </c>
      <c r="B1" s="2"/>
    </row>
    <row r="2" spans="1:7" ht="23.5">
      <c r="A2" s="3" t="s">
        <v>383</v>
      </c>
      <c r="D2" s="12" t="s">
        <v>382</v>
      </c>
    </row>
    <row r="4" spans="1:7" ht="15.5">
      <c r="A4" s="117" t="s">
        <v>2</v>
      </c>
    </row>
    <row r="5" spans="1:7">
      <c r="A5" t="s">
        <v>322</v>
      </c>
      <c r="G5" s="5"/>
    </row>
    <row r="19" spans="1:13">
      <c r="E19" t="s">
        <v>3</v>
      </c>
      <c r="G19" t="s">
        <v>11</v>
      </c>
    </row>
    <row r="20" spans="1:13">
      <c r="A20">
        <v>1.1000000000000001</v>
      </c>
      <c r="B20" t="s">
        <v>4</v>
      </c>
      <c r="E20" s="99">
        <f>439.99/1.15</f>
        <v>382.6</v>
      </c>
      <c r="G20" s="27" t="s">
        <v>396</v>
      </c>
    </row>
    <row r="21" spans="1:13" ht="15.5">
      <c r="A21">
        <v>1.2</v>
      </c>
      <c r="B21" t="s">
        <v>308</v>
      </c>
      <c r="E21" s="102">
        <f>((439.99 * 0.15) / 1.15)</f>
        <v>57.39</v>
      </c>
      <c r="G21" s="28" t="s">
        <v>395</v>
      </c>
    </row>
    <row r="23" spans="1:13">
      <c r="A23" t="s">
        <v>14</v>
      </c>
      <c r="D23" s="1" t="s">
        <v>18</v>
      </c>
      <c r="E23" s="1">
        <v>200</v>
      </c>
      <c r="F23" s="1"/>
    </row>
    <row r="24" spans="1:13">
      <c r="A24">
        <v>1.3</v>
      </c>
      <c r="B24" t="s">
        <v>346</v>
      </c>
      <c r="E24" s="99">
        <f>(E20 - E23)</f>
        <v>182.60000000000002</v>
      </c>
      <c r="G24" s="27" t="s">
        <v>397</v>
      </c>
    </row>
    <row r="25" spans="1:13" ht="15.5">
      <c r="A25">
        <v>1.4</v>
      </c>
      <c r="B25" t="s">
        <v>5</v>
      </c>
      <c r="E25" s="84">
        <f>((E24 / E20) * 100)</f>
        <v>47.726084683742812</v>
      </c>
      <c r="G25" s="28" t="s">
        <v>398</v>
      </c>
    </row>
    <row r="27" spans="1:13">
      <c r="A27" t="s">
        <v>324</v>
      </c>
    </row>
    <row r="28" spans="1:13">
      <c r="A28">
        <v>1.5</v>
      </c>
      <c r="B28" t="s">
        <v>16</v>
      </c>
      <c r="E28" s="99">
        <v>300</v>
      </c>
    </row>
    <row r="29" spans="1:13">
      <c r="A29">
        <v>1.6</v>
      </c>
      <c r="B29" t="s">
        <v>6</v>
      </c>
      <c r="E29" s="83">
        <f>(E20 - E28)</f>
        <v>82.600000000000023</v>
      </c>
      <c r="L29" s="115"/>
      <c r="M29" s="100"/>
    </row>
    <row r="30" spans="1:13">
      <c r="A30" s="11">
        <v>1.7</v>
      </c>
      <c r="B30" t="s">
        <v>310</v>
      </c>
      <c r="C30" s="1"/>
      <c r="E30" s="101">
        <f>((E29 / E20) * 100)</f>
        <v>21.589127025614225</v>
      </c>
      <c r="M30" s="100"/>
    </row>
    <row r="31" spans="1:13">
      <c r="A31">
        <v>1.8</v>
      </c>
      <c r="B31" t="s">
        <v>33</v>
      </c>
      <c r="E31" s="101">
        <f>(E29/E28) * 100</f>
        <v>27.533333333333342</v>
      </c>
    </row>
    <row r="33" spans="1:6" ht="15.5">
      <c r="A33" s="117" t="s">
        <v>0</v>
      </c>
    </row>
    <row r="34" spans="1:6">
      <c r="A34" t="s">
        <v>323</v>
      </c>
    </row>
    <row r="35" spans="1:6">
      <c r="A35" t="s">
        <v>13</v>
      </c>
      <c r="E35" s="5"/>
      <c r="F35" s="5"/>
    </row>
    <row r="47" spans="1:6">
      <c r="A47" t="s">
        <v>333</v>
      </c>
    </row>
    <row r="48" spans="1:6">
      <c r="A48" t="s">
        <v>348</v>
      </c>
    </row>
    <row r="49" spans="1:13">
      <c r="A49" t="s">
        <v>334</v>
      </c>
    </row>
    <row r="50" spans="1:13">
      <c r="E50" t="s">
        <v>8</v>
      </c>
      <c r="G50" t="s">
        <v>12</v>
      </c>
      <c r="H50" s="25" t="s">
        <v>32</v>
      </c>
    </row>
    <row r="51" spans="1:13" ht="15" thickBot="1">
      <c r="D51" s="1" t="s">
        <v>9</v>
      </c>
      <c r="E51" s="30">
        <v>6999.99</v>
      </c>
      <c r="F51" s="4"/>
      <c r="G51" s="103">
        <f>(E51 * 0.8)</f>
        <v>5599.9920000000002</v>
      </c>
      <c r="H51" s="103">
        <v>5099.99</v>
      </c>
      <c r="I51" s="6"/>
      <c r="J51" s="6"/>
    </row>
    <row r="52" spans="1:13" ht="15.5" thickTop="1" thickBot="1">
      <c r="A52">
        <v>2.1</v>
      </c>
      <c r="B52" t="s">
        <v>4</v>
      </c>
      <c r="E52" s="149">
        <f>(E51/1.15)</f>
        <v>6086.9478260869564</v>
      </c>
      <c r="F52" s="7"/>
      <c r="G52" s="85">
        <f>(E52 * 0.8)</f>
        <v>4869.5582608695649</v>
      </c>
      <c r="H52" s="31">
        <f>(H51 / 1.15)</f>
        <v>4434.7739130434784</v>
      </c>
      <c r="M52" s="81"/>
    </row>
    <row r="53" spans="1:13" ht="15" thickTop="1">
      <c r="B53" t="s">
        <v>307</v>
      </c>
      <c r="H53" s="99">
        <f>(H51-E51)/E51*100</f>
        <v>-27.142895918422745</v>
      </c>
    </row>
    <row r="54" spans="1:13" ht="15" thickBot="1">
      <c r="A54" t="s">
        <v>34</v>
      </c>
      <c r="D54" s="46" t="s">
        <v>312</v>
      </c>
      <c r="E54" s="46">
        <v>4600</v>
      </c>
      <c r="F54" s="46"/>
      <c r="G54" s="46">
        <v>4600</v>
      </c>
      <c r="H54" s="26">
        <v>4600</v>
      </c>
    </row>
    <row r="55" spans="1:13" ht="15.5" thickTop="1" thickBot="1">
      <c r="A55">
        <v>2.2000000000000002</v>
      </c>
      <c r="B55" t="s">
        <v>6</v>
      </c>
      <c r="E55" s="31">
        <f xml:space="preserve"> ( E52 - E54)</f>
        <v>1486.9478260869564</v>
      </c>
      <c r="F55" s="7"/>
      <c r="G55" s="103">
        <f xml:space="preserve"> ( G52 - G54)</f>
        <v>269.55826086956495</v>
      </c>
      <c r="H55" s="103">
        <f xml:space="preserve"> ( H52 - H54)</f>
        <v>-165.22608695652161</v>
      </c>
    </row>
    <row r="56" spans="1:13" ht="15.5" thickTop="1" thickBot="1">
      <c r="A56">
        <v>2.2999999999999998</v>
      </c>
      <c r="B56" t="s">
        <v>5</v>
      </c>
      <c r="E56" s="116">
        <f>(E55 / E52) * 100</f>
        <v>24.428463469233527</v>
      </c>
      <c r="F56" s="7"/>
      <c r="G56" s="29">
        <f>(G55 / G52) * 100</f>
        <v>5.5355793365419039</v>
      </c>
      <c r="H56" s="29">
        <f xml:space="preserve"> ( H55 / H52 ) * 100</f>
        <v>-3.7256935797913302</v>
      </c>
    </row>
    <row r="57" spans="1:13" ht="15" thickTop="1"/>
    <row r="58" spans="1:13" ht="15" thickBot="1">
      <c r="A58" t="s">
        <v>10</v>
      </c>
      <c r="E58">
        <v>10</v>
      </c>
      <c r="G58">
        <v>20</v>
      </c>
      <c r="H58">
        <v>30</v>
      </c>
    </row>
    <row r="59" spans="1:13" ht="15.5" thickTop="1" thickBot="1">
      <c r="A59">
        <v>2.4</v>
      </c>
      <c r="B59" t="s">
        <v>19</v>
      </c>
      <c r="E59" s="114">
        <f xml:space="preserve"> (E52 * E58)</f>
        <v>60869.478260869568</v>
      </c>
      <c r="F59" s="7"/>
      <c r="G59" s="85">
        <f>(G52 *G58)</f>
        <v>97391.165217391303</v>
      </c>
      <c r="H59" s="31">
        <f xml:space="preserve"> (H52 * H58)</f>
        <v>133043.21739130435</v>
      </c>
    </row>
    <row r="60" spans="1:13" ht="15.5" thickTop="1" thickBot="1">
      <c r="A60">
        <v>2.5</v>
      </c>
      <c r="B60" t="s">
        <v>17</v>
      </c>
      <c r="E60" s="31">
        <f>(E55*E58)</f>
        <v>14869.478260869564</v>
      </c>
      <c r="F60" s="7"/>
      <c r="G60" s="103">
        <f>(G55 * G58)</f>
        <v>5391.1652173912989</v>
      </c>
      <c r="H60" s="31">
        <f xml:space="preserve"> (H55 * H58)</f>
        <v>-4956.7826086956484</v>
      </c>
    </row>
    <row r="61" spans="1:13" ht="15" thickTop="1">
      <c r="A61">
        <v>2.6</v>
      </c>
      <c r="C61" s="1" t="s">
        <v>7</v>
      </c>
      <c r="E61" s="99">
        <f>(E55 / E52 ) * 100</f>
        <v>24.428463469233527</v>
      </c>
      <c r="F61" s="7"/>
      <c r="G61" s="33">
        <f>(G55 / G52 ) * 100</f>
        <v>5.5355793365419039</v>
      </c>
      <c r="H61" s="84">
        <f>(H55 / H52 ) * 100</f>
        <v>-3.7256935797913302</v>
      </c>
    </row>
    <row r="62" spans="1:13">
      <c r="A62">
        <v>2.7</v>
      </c>
      <c r="B62" t="s">
        <v>69</v>
      </c>
      <c r="E62" s="32"/>
      <c r="F62" s="32"/>
      <c r="G62" s="32"/>
    </row>
    <row r="66" spans="1:10" ht="15.5">
      <c r="A66" s="117" t="s">
        <v>260</v>
      </c>
      <c r="B66" s="118"/>
      <c r="C66" s="118"/>
      <c r="D66" s="118"/>
      <c r="E66" s="118"/>
      <c r="F66" s="118"/>
      <c r="G66" s="118"/>
    </row>
    <row r="67" spans="1:10" ht="15.5">
      <c r="A67" s="76" t="s">
        <v>261</v>
      </c>
    </row>
    <row r="68" spans="1:10" ht="15.5">
      <c r="A68" s="35" t="s">
        <v>35</v>
      </c>
    </row>
    <row r="69" spans="1:10">
      <c r="A69" s="26" t="s">
        <v>15</v>
      </c>
    </row>
    <row r="70" spans="1:10">
      <c r="A70" t="s">
        <v>262</v>
      </c>
    </row>
    <row r="71" spans="1:10">
      <c r="A71" t="s">
        <v>263</v>
      </c>
    </row>
    <row r="72" spans="1:10">
      <c r="A72" t="s">
        <v>36</v>
      </c>
    </row>
    <row r="73" spans="1:10">
      <c r="A73" t="s">
        <v>300</v>
      </c>
    </row>
    <row r="74" spans="1:10">
      <c r="A74" t="s">
        <v>315</v>
      </c>
    </row>
    <row r="75" spans="1:10">
      <c r="A75" t="s">
        <v>283</v>
      </c>
    </row>
    <row r="76" spans="1:10">
      <c r="A76" t="s">
        <v>284</v>
      </c>
    </row>
    <row r="77" spans="1:10">
      <c r="A77" t="s">
        <v>37</v>
      </c>
    </row>
    <row r="78" spans="1:10">
      <c r="A78" t="s">
        <v>41</v>
      </c>
    </row>
    <row r="79" spans="1:10">
      <c r="A79" t="s">
        <v>42</v>
      </c>
    </row>
    <row r="80" spans="1:10">
      <c r="A80" t="s">
        <v>285</v>
      </c>
    </row>
    <row r="81" spans="1:13">
      <c r="A81" t="s">
        <v>50</v>
      </c>
    </row>
    <row r="82" spans="1:13">
      <c r="A82" t="s">
        <v>358</v>
      </c>
    </row>
    <row r="83" spans="1:13">
      <c r="A83" t="s">
        <v>48</v>
      </c>
    </row>
    <row r="84" spans="1:13">
      <c r="A84" t="s">
        <v>49</v>
      </c>
    </row>
    <row r="85" spans="1:13">
      <c r="A85" t="s">
        <v>356</v>
      </c>
    </row>
    <row r="86" spans="1:13">
      <c r="A86" t="s">
        <v>287</v>
      </c>
    </row>
    <row r="87" spans="1:13">
      <c r="A87" t="s">
        <v>286</v>
      </c>
    </row>
    <row r="88" spans="1:13">
      <c r="A88" t="s">
        <v>264</v>
      </c>
    </row>
    <row r="89" spans="1:13">
      <c r="A89" t="s">
        <v>354</v>
      </c>
    </row>
    <row r="90" spans="1:13">
      <c r="A90" t="s">
        <v>51</v>
      </c>
    </row>
    <row r="91" spans="1:13">
      <c r="A91" t="s">
        <v>52</v>
      </c>
    </row>
    <row r="92" spans="1:13">
      <c r="A92" t="s">
        <v>53</v>
      </c>
    </row>
    <row r="93" spans="1:13">
      <c r="A93" t="s">
        <v>54</v>
      </c>
    </row>
    <row r="94" spans="1:13">
      <c r="A94" t="s">
        <v>328</v>
      </c>
      <c r="G94" t="s">
        <v>306</v>
      </c>
      <c r="I94" s="104">
        <v>244.5</v>
      </c>
      <c r="J94" t="s">
        <v>372</v>
      </c>
    </row>
    <row r="96" spans="1:13" ht="15.5">
      <c r="A96" s="117" t="s">
        <v>379</v>
      </c>
      <c r="B96" s="118"/>
      <c r="C96" s="118"/>
      <c r="D96" s="118"/>
      <c r="E96" s="118"/>
    </row>
    <row r="97" spans="1:15">
      <c r="A97" t="s">
        <v>359</v>
      </c>
    </row>
    <row r="98" spans="1:15">
      <c r="A98" t="s">
        <v>360</v>
      </c>
    </row>
    <row r="99" spans="1:15">
      <c r="A99" t="s">
        <v>366</v>
      </c>
    </row>
    <row r="100" spans="1:15" ht="15" thickBot="1">
      <c r="A100" t="s">
        <v>367</v>
      </c>
    </row>
    <row r="101" spans="1:15" ht="15.5" thickTop="1" thickBot="1">
      <c r="A101" t="s">
        <v>368</v>
      </c>
      <c r="I101" s="139">
        <v>81</v>
      </c>
      <c r="J101" t="s">
        <v>380</v>
      </c>
    </row>
    <row r="102" spans="1:15" ht="15" thickTop="1">
      <c r="A102" t="s">
        <v>369</v>
      </c>
    </row>
    <row r="103" spans="1:15">
      <c r="A103" t="s">
        <v>357</v>
      </c>
    </row>
    <row r="104" spans="1:15" ht="15.5">
      <c r="A104" s="117" t="s">
        <v>370</v>
      </c>
      <c r="B104" s="118"/>
      <c r="C104" s="118"/>
      <c r="D104" s="118"/>
      <c r="E104" s="118"/>
      <c r="F104" s="118"/>
      <c r="G104" s="118"/>
      <c r="H104" s="118"/>
      <c r="I104" s="118"/>
    </row>
    <row r="105" spans="1:15">
      <c r="A105" t="s">
        <v>265</v>
      </c>
    </row>
    <row r="106" spans="1:15">
      <c r="A106" t="s">
        <v>294</v>
      </c>
    </row>
    <row r="107" spans="1:15">
      <c r="A107" t="s">
        <v>361</v>
      </c>
    </row>
    <row r="108" spans="1:15">
      <c r="A108" t="s">
        <v>316</v>
      </c>
    </row>
    <row r="109" spans="1:15">
      <c r="A109" t="s">
        <v>318</v>
      </c>
    </row>
    <row r="110" spans="1:15">
      <c r="A110" t="s">
        <v>362</v>
      </c>
    </row>
    <row r="111" spans="1:15" ht="15.5">
      <c r="A111" s="135" t="s">
        <v>363</v>
      </c>
    </row>
    <row r="112" spans="1:15">
      <c r="A112" t="s">
        <v>320</v>
      </c>
    </row>
    <row r="113" spans="1:5">
      <c r="A113" t="s">
        <v>321</v>
      </c>
    </row>
    <row r="114" spans="1:5">
      <c r="A114" t="s">
        <v>319</v>
      </c>
    </row>
    <row r="115" spans="1:5">
      <c r="A115" t="s">
        <v>317</v>
      </c>
      <c r="E115" s="1" t="s">
        <v>309</v>
      </c>
    </row>
    <row r="116" spans="1:5">
      <c r="B116" s="38" t="s">
        <v>38</v>
      </c>
      <c r="C116" s="38" t="s">
        <v>39</v>
      </c>
      <c r="D116" s="38" t="s">
        <v>40</v>
      </c>
      <c r="E116" s="38" t="s">
        <v>1</v>
      </c>
    </row>
    <row r="117" spans="1:5" ht="15.5">
      <c r="A117" s="1" t="s">
        <v>64</v>
      </c>
      <c r="B117" s="104">
        <v>28</v>
      </c>
      <c r="C117" s="82">
        <v>76</v>
      </c>
      <c r="D117" s="37">
        <v>0</v>
      </c>
      <c r="E117" s="140">
        <f>B117+C117+D117</f>
        <v>104</v>
      </c>
    </row>
    <row r="118" spans="1:5" ht="15.5">
      <c r="A118" s="46" t="s">
        <v>63</v>
      </c>
      <c r="B118" s="47">
        <f>B117/$E117*100</f>
        <v>26.923076923076923</v>
      </c>
      <c r="C118" s="47">
        <f>C117/$E117*100</f>
        <v>73.076923076923066</v>
      </c>
      <c r="D118" s="47">
        <f>D117/$E117*100</f>
        <v>0</v>
      </c>
      <c r="E118" s="48">
        <f>SUM(B118:D118)</f>
        <v>99.999999999999986</v>
      </c>
    </row>
    <row r="120" spans="1:5">
      <c r="A120" t="s">
        <v>364</v>
      </c>
    </row>
    <row r="121" spans="1:5">
      <c r="A121" t="s">
        <v>299</v>
      </c>
    </row>
    <row r="122" spans="1:5">
      <c r="A122" t="s">
        <v>288</v>
      </c>
    </row>
    <row r="124" spans="1:5">
      <c r="A124" t="s">
        <v>266</v>
      </c>
      <c r="B124" s="38" t="s">
        <v>267</v>
      </c>
      <c r="C124" s="38" t="s">
        <v>268</v>
      </c>
      <c r="E124" s="45" t="s">
        <v>295</v>
      </c>
    </row>
    <row r="125" spans="1:5" ht="15.5">
      <c r="A125" s="34" t="s">
        <v>247</v>
      </c>
      <c r="B125" s="104">
        <v>74</v>
      </c>
      <c r="C125" s="140">
        <f>104-B125</f>
        <v>30</v>
      </c>
      <c r="E125" s="44" t="s">
        <v>296</v>
      </c>
    </row>
    <row r="126" spans="1:5" ht="15.5">
      <c r="A126" s="34" t="s">
        <v>246</v>
      </c>
      <c r="B126" s="37">
        <v>41</v>
      </c>
      <c r="C126" s="82">
        <f>104-B126</f>
        <v>63</v>
      </c>
      <c r="E126" s="44" t="s">
        <v>297</v>
      </c>
    </row>
    <row r="127" spans="1:5" ht="15.5">
      <c r="A127" s="34" t="s">
        <v>245</v>
      </c>
      <c r="B127" s="37">
        <v>54</v>
      </c>
      <c r="C127" s="104">
        <f>104 - B127</f>
        <v>50</v>
      </c>
      <c r="E127" s="44" t="s">
        <v>298</v>
      </c>
    </row>
    <row r="130" spans="1:3">
      <c r="A130" t="s">
        <v>65</v>
      </c>
    </row>
    <row r="132" spans="1:3" s="143" customFormat="1" ht="21">
      <c r="A132" s="141" t="s">
        <v>376</v>
      </c>
      <c r="B132" s="142"/>
      <c r="C132" s="142"/>
    </row>
    <row r="133" spans="1:3" s="143" customFormat="1">
      <c r="A133" s="144" t="b">
        <v>1</v>
      </c>
      <c r="B133" s="145" t="s">
        <v>373</v>
      </c>
    </row>
    <row r="134" spans="1:3" s="143" customFormat="1" ht="10.5">
      <c r="A134" s="146" t="s">
        <v>377</v>
      </c>
      <c r="B134" s="143" t="s">
        <v>374</v>
      </c>
    </row>
    <row r="135" spans="1:3" s="143" customFormat="1">
      <c r="A135" s="144" t="b">
        <v>0</v>
      </c>
      <c r="B135" s="145" t="s">
        <v>375</v>
      </c>
    </row>
    <row r="136" spans="1:3" s="143" customFormat="1" ht="10.5"/>
    <row r="137" spans="1:3" s="143" customFormat="1" ht="10.5"/>
    <row r="138" spans="1:3" s="143" customFormat="1" ht="10.5"/>
    <row r="139" spans="1:3" s="143" customFormat="1" ht="10.5"/>
    <row r="140" spans="1:3" s="143" customFormat="1" ht="10.5"/>
    <row r="141" spans="1:3" s="143" customFormat="1" ht="10.5"/>
    <row r="142" spans="1:3" s="143" customFormat="1" ht="10.5"/>
    <row r="143" spans="1:3" s="143" customFormat="1" ht="10.5"/>
    <row r="144" spans="1:3" s="143" customFormat="1" ht="10.5"/>
    <row r="145" s="143" customFormat="1" ht="10.5"/>
  </sheetData>
  <conditionalFormatting sqref="B117">
    <cfRule type="cellIs" dxfId="29" priority="22" operator="equal">
      <formula>28</formula>
    </cfRule>
  </conditionalFormatting>
  <conditionalFormatting sqref="B125">
    <cfRule type="cellIs" dxfId="28" priority="14" operator="equal">
      <formula>74</formula>
    </cfRule>
  </conditionalFormatting>
  <conditionalFormatting sqref="C127">
    <cfRule type="cellIs" dxfId="27" priority="13" operator="equal">
      <formula>50</formula>
    </cfRule>
  </conditionalFormatting>
  <conditionalFormatting sqref="E20">
    <cfRule type="cellIs" dxfId="26" priority="32" operator="equal">
      <formula>382.6</formula>
    </cfRule>
  </conditionalFormatting>
  <conditionalFormatting sqref="E21">
    <cfRule type="cellIs" dxfId="25" priority="36" operator="equal">
      <formula>57.39</formula>
    </cfRule>
  </conditionalFormatting>
  <conditionalFormatting sqref="E24">
    <cfRule type="cellIs" dxfId="24" priority="12" operator="equal">
      <formula>182.6</formula>
    </cfRule>
  </conditionalFormatting>
  <conditionalFormatting sqref="E28">
    <cfRule type="cellIs" dxfId="23" priority="11" operator="equal">
      <formula>300</formula>
    </cfRule>
  </conditionalFormatting>
  <conditionalFormatting sqref="E30">
    <cfRule type="cellIs" dxfId="22" priority="10" operator="between">
      <formula>21.5</formula>
      <formula>21.6</formula>
    </cfRule>
  </conditionalFormatting>
  <conditionalFormatting sqref="E31">
    <cfRule type="cellIs" dxfId="21" priority="9" operator="between">
      <formula>27.5</formula>
      <formula>27.59</formula>
    </cfRule>
  </conditionalFormatting>
  <conditionalFormatting sqref="E52">
    <cfRule type="cellIs" dxfId="20" priority="7" operator="between">
      <formula>6086</formula>
      <formula>6087</formula>
    </cfRule>
  </conditionalFormatting>
  <conditionalFormatting sqref="E59">
    <cfRule type="cellIs" dxfId="19" priority="2" operator="between">
      <formula>60869</formula>
      <formula>60870</formula>
    </cfRule>
  </conditionalFormatting>
  <conditionalFormatting sqref="E61">
    <cfRule type="cellIs" dxfId="18" priority="3" operator="between">
      <formula>24.4</formula>
      <formula>24.45</formula>
    </cfRule>
  </conditionalFormatting>
  <conditionalFormatting sqref="G51">
    <cfRule type="cellIs" dxfId="17" priority="8" operator="between">
      <formula>5599</formula>
      <formula>5600</formula>
    </cfRule>
  </conditionalFormatting>
  <conditionalFormatting sqref="G55">
    <cfRule type="cellIs" dxfId="16" priority="5" operator="between">
      <formula>269</formula>
      <formula>270</formula>
    </cfRule>
  </conditionalFormatting>
  <conditionalFormatting sqref="G60">
    <cfRule type="cellIs" dxfId="15" priority="1" operator="between">
      <formula>5391</formula>
      <formula>5392</formula>
    </cfRule>
  </conditionalFormatting>
  <conditionalFormatting sqref="H51">
    <cfRule type="cellIs" dxfId="14" priority="29" operator="between">
      <formula>5099</formula>
      <formula>5100</formula>
    </cfRule>
  </conditionalFormatting>
  <conditionalFormatting sqref="H53">
    <cfRule type="cellIs" dxfId="13" priority="6" operator="between">
      <formula>-27</formula>
      <formula>-27.2</formula>
    </cfRule>
  </conditionalFormatting>
  <conditionalFormatting sqref="H55">
    <cfRule type="cellIs" dxfId="12" priority="4" operator="between">
      <formula>-165</formula>
      <formula>-166</formula>
    </cfRule>
  </conditionalFormatting>
  <conditionalFormatting sqref="I94">
    <cfRule type="cellIs" dxfId="11" priority="15" operator="between">
      <formula>244</formula>
      <formula>245</formula>
    </cfRule>
  </conditionalFormatting>
  <pageMargins left="0.7" right="0.7" top="0.75" bottom="0.75" header="0.3" footer="0.3"/>
  <pageSetup paperSize="9" orientation="portrait" r:id="rId1"/>
  <drawing r:id="rId2"/>
  <legacyDrawing r:id="rId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B464A-5001-084C-AB3A-BF62F46F3E96}">
  <dimension ref="A1:BB168"/>
  <sheetViews>
    <sheetView tabSelected="1" topLeftCell="A93" zoomScale="149" zoomScaleNormal="149" workbookViewId="0">
      <selection activeCell="G102" sqref="G102"/>
    </sheetView>
  </sheetViews>
  <sheetFormatPr defaultColWidth="11.453125" defaultRowHeight="14.5"/>
  <cols>
    <col min="1" max="1" width="24.1796875" customWidth="1"/>
    <col min="2" max="2" width="11.453125" customWidth="1"/>
    <col min="3" max="3" width="13.1796875" customWidth="1"/>
    <col min="4" max="6" width="11.453125" customWidth="1"/>
    <col min="7" max="8" width="11.6328125" bestFit="1" customWidth="1"/>
    <col min="9" max="9" width="13.453125" bestFit="1" customWidth="1"/>
    <col min="10" max="10" width="11.6328125" bestFit="1" customWidth="1"/>
    <col min="16" max="54" width="6.6328125" customWidth="1"/>
  </cols>
  <sheetData>
    <row r="1" spans="1:10" ht="26">
      <c r="A1" s="2" t="s">
        <v>31</v>
      </c>
      <c r="B1" s="2"/>
      <c r="E1" s="78" t="s">
        <v>301</v>
      </c>
      <c r="F1" s="79" t="s">
        <v>400</v>
      </c>
      <c r="G1" s="80"/>
    </row>
    <row r="2" spans="1:10" ht="23.5">
      <c r="A2" s="3" t="str">
        <f>'Lab1'!A2</f>
        <v>Due date: August 3</v>
      </c>
      <c r="C2" s="12" t="str">
        <f>'Lab1'!D2</f>
        <v>Version: 1 (09.07)</v>
      </c>
      <c r="E2" s="78" t="s">
        <v>302</v>
      </c>
      <c r="F2" s="79">
        <v>26019118</v>
      </c>
      <c r="G2" s="80"/>
    </row>
    <row r="4" spans="1:10" ht="15.5">
      <c r="A4" s="117" t="s">
        <v>2</v>
      </c>
    </row>
    <row r="5" spans="1:10">
      <c r="A5" t="s">
        <v>353</v>
      </c>
    </row>
    <row r="6" spans="1:10">
      <c r="A6" t="s">
        <v>47</v>
      </c>
    </row>
    <row r="7" spans="1:10">
      <c r="A7" t="s">
        <v>349</v>
      </c>
      <c r="B7" s="5" t="s">
        <v>350</v>
      </c>
      <c r="G7" t="s">
        <v>352</v>
      </c>
    </row>
    <row r="8" spans="1:10">
      <c r="A8" t="s">
        <v>331</v>
      </c>
      <c r="B8" s="5" t="s">
        <v>332</v>
      </c>
      <c r="G8" t="s">
        <v>335</v>
      </c>
      <c r="H8" t="s">
        <v>351</v>
      </c>
    </row>
    <row r="10" spans="1:10">
      <c r="A10" t="s">
        <v>30</v>
      </c>
    </row>
    <row r="11" spans="1:10">
      <c r="A11" s="65" t="s">
        <v>325</v>
      </c>
      <c r="B11" s="24" t="s">
        <v>311</v>
      </c>
      <c r="C11" s="10"/>
      <c r="D11" s="10"/>
      <c r="E11" s="10"/>
      <c r="F11" s="10"/>
      <c r="H11" s="10"/>
      <c r="I11" s="10"/>
      <c r="J11" s="10"/>
    </row>
    <row r="12" spans="1:10">
      <c r="A12" s="23"/>
      <c r="B12" s="136">
        <v>2025</v>
      </c>
      <c r="C12" s="136">
        <v>2024</v>
      </c>
      <c r="D12" s="22"/>
      <c r="E12" s="22" t="s">
        <v>29</v>
      </c>
      <c r="F12" s="22" t="s">
        <v>27</v>
      </c>
      <c r="G12" s="136">
        <v>2023</v>
      </c>
      <c r="H12" s="22"/>
      <c r="I12" s="22" t="s">
        <v>28</v>
      </c>
      <c r="J12" s="22" t="s">
        <v>27</v>
      </c>
    </row>
    <row r="13" spans="1:10" ht="20" customHeight="1" thickBot="1">
      <c r="A13" s="21"/>
      <c r="B13" s="20"/>
      <c r="C13" s="122" t="s">
        <v>336</v>
      </c>
      <c r="D13" s="20"/>
      <c r="E13" s="20"/>
      <c r="F13" s="20"/>
      <c r="G13" s="20"/>
      <c r="H13" s="20"/>
      <c r="I13" s="20"/>
      <c r="J13" s="20"/>
    </row>
    <row r="14" spans="1:10">
      <c r="A14" s="16" t="s">
        <v>26</v>
      </c>
      <c r="B14" s="105">
        <v>3086725</v>
      </c>
      <c r="C14" s="111">
        <v>3037597</v>
      </c>
      <c r="D14" s="86">
        <f t="shared" ref="D14:D22" si="0">F14</f>
        <v>1.6173310679461428E-2</v>
      </c>
      <c r="E14" s="109">
        <f>B14-C14</f>
        <v>49128</v>
      </c>
      <c r="F14" s="95">
        <f>E14/C14</f>
        <v>1.6173310679461428E-2</v>
      </c>
      <c r="G14" s="111">
        <v>3236912</v>
      </c>
      <c r="H14" s="86">
        <f t="shared" ref="H14:H22" si="1">J14</f>
        <v>-6.1575662236106513E-2</v>
      </c>
      <c r="I14" s="109">
        <f>C14-G14</f>
        <v>-199315</v>
      </c>
      <c r="J14" s="96">
        <f>I14/G14</f>
        <v>-6.1575662236106513E-2</v>
      </c>
    </row>
    <row r="15" spans="1:10">
      <c r="A15" s="16" t="s">
        <v>25</v>
      </c>
      <c r="B15" s="110">
        <v>2091643</v>
      </c>
      <c r="C15" s="121">
        <v>2016731</v>
      </c>
      <c r="D15" s="87">
        <f t="shared" si="0"/>
        <v>-3.7145261316457179E-2</v>
      </c>
      <c r="E15" s="108">
        <f>-(B15-C15)</f>
        <v>-74912</v>
      </c>
      <c r="F15" s="90">
        <f>-(B15-C15)/C15</f>
        <v>-3.7145261316457179E-2</v>
      </c>
      <c r="G15" s="112">
        <v>2148681</v>
      </c>
      <c r="H15" s="87">
        <f t="shared" si="1"/>
        <v>6.1409767201366795E-2</v>
      </c>
      <c r="I15" s="108">
        <f>-(C15-G15)</f>
        <v>131950</v>
      </c>
      <c r="J15" s="91">
        <f>I15/G15</f>
        <v>6.1409767201366795E-2</v>
      </c>
    </row>
    <row r="16" spans="1:10">
      <c r="A16" s="16" t="s">
        <v>24</v>
      </c>
      <c r="B16" s="19">
        <f>B15/B14</f>
        <v>0.67762531485636068</v>
      </c>
      <c r="C16" s="18">
        <f>C15/C14</f>
        <v>0.66392316031389287</v>
      </c>
      <c r="D16" s="88">
        <f t="shared" si="0"/>
        <v>-1.3702154542467815E-2</v>
      </c>
      <c r="E16" s="89">
        <f>-(B16-C16)</f>
        <v>-1.3702154542467815E-2</v>
      </c>
      <c r="F16" s="90">
        <f>-(B16-C16)</f>
        <v>-1.3702154542467815E-2</v>
      </c>
      <c r="G16" s="18">
        <f>G15/G14</f>
        <v>0.66380581245335057</v>
      </c>
      <c r="H16" s="88">
        <f t="shared" si="1"/>
        <v>-1.1734786054229396E-4</v>
      </c>
      <c r="I16" s="89">
        <f>-(C16-G16)</f>
        <v>-1.1734786054229396E-4</v>
      </c>
      <c r="J16" s="91">
        <f>I16</f>
        <v>-1.1734786054229396E-4</v>
      </c>
    </row>
    <row r="17" spans="1:10">
      <c r="A17" s="16" t="s">
        <v>45</v>
      </c>
      <c r="B17" s="106">
        <f>B14-B15</f>
        <v>995082</v>
      </c>
      <c r="C17" s="107">
        <f>C14-C15</f>
        <v>1020866</v>
      </c>
      <c r="D17" s="87">
        <f t="shared" si="0"/>
        <v>-2.5256987694761115E-2</v>
      </c>
      <c r="E17" s="108">
        <f>B17-C17</f>
        <v>-25784</v>
      </c>
      <c r="F17" s="90">
        <f>(B17-C17)/C17</f>
        <v>-2.5256987694761115E-2</v>
      </c>
      <c r="G17" s="107">
        <f>G14-G15</f>
        <v>1088231</v>
      </c>
      <c r="H17" s="87">
        <f t="shared" si="1"/>
        <v>-6.1903217239722079E-2</v>
      </c>
      <c r="I17" s="108">
        <f>C17-G17</f>
        <v>-67365</v>
      </c>
      <c r="J17" s="91">
        <f>I17/G17</f>
        <v>-6.1903217239722079E-2</v>
      </c>
    </row>
    <row r="18" spans="1:10">
      <c r="A18" s="16" t="s">
        <v>23</v>
      </c>
      <c r="B18" s="19">
        <f>B17/B14</f>
        <v>0.32237468514363932</v>
      </c>
      <c r="C18" s="18">
        <f>C17/C14</f>
        <v>0.33607683968610713</v>
      </c>
      <c r="D18" s="88">
        <f t="shared" si="0"/>
        <v>-1.3702154542467815E-2</v>
      </c>
      <c r="E18" s="90">
        <f>B18-C18</f>
        <v>-1.3702154542467815E-2</v>
      </c>
      <c r="F18" s="90">
        <f>B18-C18</f>
        <v>-1.3702154542467815E-2</v>
      </c>
      <c r="G18" s="18">
        <f>G17/G14</f>
        <v>0.33619418754664943</v>
      </c>
      <c r="H18" s="88">
        <f t="shared" si="1"/>
        <v>-1.1734786054229396E-4</v>
      </c>
      <c r="I18" s="90">
        <f>C18-G18</f>
        <v>-1.1734786054229396E-4</v>
      </c>
      <c r="J18" s="91">
        <f>I18</f>
        <v>-1.1734786054229396E-4</v>
      </c>
    </row>
    <row r="19" spans="1:10">
      <c r="A19" s="16" t="s">
        <v>22</v>
      </c>
      <c r="B19" s="123">
        <f xml:space="preserve"> 526520 +   156524 + 285836</f>
        <v>968880</v>
      </c>
      <c r="C19" s="110">
        <f>512146 + 158558  +290284</f>
        <v>960988</v>
      </c>
      <c r="D19" s="87">
        <f t="shared" si="0"/>
        <v>-8.2123814241176797E-3</v>
      </c>
      <c r="E19" s="108">
        <f>-(B19-C19)</f>
        <v>-7892</v>
      </c>
      <c r="F19" s="90">
        <f>-(B19-C19)/C19</f>
        <v>-8.2123814241176797E-3</v>
      </c>
      <c r="G19" s="107">
        <f>535770 + 151891 + 286615</f>
        <v>974276</v>
      </c>
      <c r="H19" s="87">
        <f t="shared" si="1"/>
        <v>1.3638845665909866E-2</v>
      </c>
      <c r="I19" s="108">
        <f>-(C19-G19)</f>
        <v>13288</v>
      </c>
      <c r="J19" s="91">
        <f>I19/G19</f>
        <v>1.3638845665909866E-2</v>
      </c>
    </row>
    <row r="20" spans="1:10">
      <c r="A20" s="16" t="s">
        <v>21</v>
      </c>
      <c r="B20" s="19">
        <f>B19/B14</f>
        <v>0.31388607666701762</v>
      </c>
      <c r="C20" s="18">
        <f>C19/C14</f>
        <v>0.31636454737083292</v>
      </c>
      <c r="D20" s="88">
        <f t="shared" si="0"/>
        <v>2.4784707038152942E-3</v>
      </c>
      <c r="E20" s="90">
        <f>-(B20-C20)</f>
        <v>2.4784707038152942E-3</v>
      </c>
      <c r="F20" s="90">
        <f>-(B20-C20)</f>
        <v>2.4784707038152942E-3</v>
      </c>
      <c r="G20" s="18">
        <f>G19/G14</f>
        <v>0.30098933798632771</v>
      </c>
      <c r="H20" s="88">
        <f t="shared" si="1"/>
        <v>-1.5375209384505206E-2</v>
      </c>
      <c r="I20" s="90">
        <f>-(C20-G20)</f>
        <v>-1.5375209384505206E-2</v>
      </c>
      <c r="J20" s="91">
        <f>I20</f>
        <v>-1.5375209384505206E-2</v>
      </c>
    </row>
    <row r="21" spans="1:10">
      <c r="A21" s="16" t="s">
        <v>46</v>
      </c>
      <c r="B21" s="106">
        <f>B17-B19</f>
        <v>26202</v>
      </c>
      <c r="C21" s="110">
        <f>C17-C19</f>
        <v>59878</v>
      </c>
      <c r="D21" s="87">
        <f t="shared" si="0"/>
        <v>-0.56241023414275693</v>
      </c>
      <c r="E21" s="108">
        <f>B21-C21</f>
        <v>-33676</v>
      </c>
      <c r="F21" s="90">
        <f>(B21-C21)/C21</f>
        <v>-0.56241023414275693</v>
      </c>
      <c r="G21" s="107">
        <f>G17-G19</f>
        <v>113955</v>
      </c>
      <c r="H21" s="87">
        <f t="shared" si="1"/>
        <v>-0.47454697029529203</v>
      </c>
      <c r="I21" s="108">
        <f>C21-G21</f>
        <v>-54077</v>
      </c>
      <c r="J21" s="91">
        <f>I21/G21</f>
        <v>-0.47454697029529203</v>
      </c>
    </row>
    <row r="22" spans="1:10" ht="15" thickBot="1">
      <c r="A22" s="16" t="s">
        <v>20</v>
      </c>
      <c r="B22" s="98">
        <f>B21/B14</f>
        <v>8.4886084766216622E-3</v>
      </c>
      <c r="C22" s="97">
        <f>C21/C14</f>
        <v>1.9712292315274212E-2</v>
      </c>
      <c r="D22" s="92">
        <f t="shared" si="0"/>
        <v>-1.122368383865255E-2</v>
      </c>
      <c r="E22" s="93">
        <f>B22-C22</f>
        <v>-1.122368383865255E-2</v>
      </c>
      <c r="F22" s="93">
        <f>B22-C22</f>
        <v>-1.122368383865255E-2</v>
      </c>
      <c r="G22" s="17">
        <f>G21/G14</f>
        <v>3.5204849560321688E-2</v>
      </c>
      <c r="H22" s="92">
        <f t="shared" si="1"/>
        <v>-1.5492557245047476E-2</v>
      </c>
      <c r="I22" s="93">
        <f>C22-G22</f>
        <v>-1.5492557245047476E-2</v>
      </c>
      <c r="J22" s="94">
        <f>I22</f>
        <v>-1.5492557245047476E-2</v>
      </c>
    </row>
    <row r="23" spans="1:10">
      <c r="A23" s="16"/>
      <c r="B23" s="16"/>
      <c r="C23" s="16"/>
      <c r="D23" s="16"/>
      <c r="E23" s="16"/>
      <c r="F23" s="16"/>
    </row>
    <row r="24" spans="1:10">
      <c r="A24" s="16" t="s">
        <v>371</v>
      </c>
      <c r="B24" s="16"/>
      <c r="C24" s="16"/>
      <c r="D24" s="16"/>
      <c r="E24" s="16" t="s">
        <v>337</v>
      </c>
      <c r="F24" s="16"/>
    </row>
    <row r="25" spans="1:10">
      <c r="A25" s="16"/>
      <c r="B25" s="16"/>
      <c r="C25" s="16"/>
      <c r="D25" s="16"/>
      <c r="E25" s="16"/>
      <c r="F25" s="16"/>
    </row>
    <row r="26" spans="1:10">
      <c r="A26" s="16"/>
      <c r="B26" s="16"/>
      <c r="C26" s="16"/>
      <c r="D26" s="16"/>
      <c r="E26" s="16"/>
      <c r="F26" s="16"/>
    </row>
    <row r="27" spans="1:10">
      <c r="A27" s="16"/>
      <c r="B27" s="16"/>
      <c r="C27" s="16"/>
      <c r="D27" s="16"/>
      <c r="E27" s="16"/>
      <c r="F27" s="16"/>
    </row>
    <row r="29" spans="1:10" ht="15.5">
      <c r="A29" s="117" t="s">
        <v>270</v>
      </c>
      <c r="B29" s="118"/>
      <c r="C29" s="118"/>
      <c r="D29" s="118"/>
      <c r="E29" s="118"/>
    </row>
    <row r="30" spans="1:10">
      <c r="A30" t="s">
        <v>269</v>
      </c>
    </row>
    <row r="31" spans="1:10">
      <c r="A31" t="s">
        <v>327</v>
      </c>
    </row>
    <row r="32" spans="1:10">
      <c r="A32" t="s">
        <v>329</v>
      </c>
    </row>
    <row r="33" spans="1:8">
      <c r="A33" t="s">
        <v>44</v>
      </c>
    </row>
    <row r="34" spans="1:8">
      <c r="A34" t="s">
        <v>277</v>
      </c>
    </row>
    <row r="35" spans="1:8">
      <c r="A35" t="s">
        <v>330</v>
      </c>
    </row>
    <row r="37" spans="1:8" ht="96.5">
      <c r="B37" s="9" t="s">
        <v>43</v>
      </c>
      <c r="C37" s="42" t="s">
        <v>271</v>
      </c>
      <c r="D37" s="42" t="s">
        <v>272</v>
      </c>
      <c r="E37" s="42" t="s">
        <v>273</v>
      </c>
      <c r="F37" s="42" t="s">
        <v>274</v>
      </c>
      <c r="G37" s="42" t="s">
        <v>275</v>
      </c>
      <c r="H37" s="42" t="s">
        <v>276</v>
      </c>
    </row>
    <row r="38" spans="1:8">
      <c r="B38" s="39">
        <v>1</v>
      </c>
      <c r="C38" s="104">
        <f>COUNTIF('SustainabilityData-10%sample'!AI$5:AI$108,$B38)</f>
        <v>5</v>
      </c>
      <c r="D38" s="104">
        <f>COUNTIF('SustainabilityData-10%sample'!AJ$5:AJ$108,$B38)</f>
        <v>7</v>
      </c>
      <c r="E38" s="8">
        <f>COUNTIF('SustainabilityData-10%sample'!AK$5:AK$108,$B38)</f>
        <v>11</v>
      </c>
      <c r="F38" s="101">
        <f>C38/C$43*100</f>
        <v>4.8076923076923084</v>
      </c>
      <c r="G38" s="77">
        <f t="shared" ref="G38:G42" si="2">D38/D$43*100</f>
        <v>6.7307692307692308</v>
      </c>
      <c r="H38" s="77">
        <f t="shared" ref="H38:H42" si="3">E38/E$43*100</f>
        <v>10.576923076923077</v>
      </c>
    </row>
    <row r="39" spans="1:8">
      <c r="B39" s="39">
        <v>2</v>
      </c>
      <c r="C39" s="8">
        <f>COUNTIF('SustainabilityData-10%sample'!AI$5:AI$108,$B39)</f>
        <v>22</v>
      </c>
      <c r="D39" s="8">
        <f>COUNTIF('SustainabilityData-10%sample'!AJ$5:AJ$108,$B39)</f>
        <v>24</v>
      </c>
      <c r="E39" s="8">
        <f>COUNTIF('SustainabilityData-10%sample'!AK$5:AK$108,$B39)</f>
        <v>27</v>
      </c>
      <c r="F39" s="77">
        <f t="shared" ref="F39:F42" si="4">C39/C$43*100</f>
        <v>21.153846153846153</v>
      </c>
      <c r="G39" s="84">
        <f t="shared" si="2"/>
        <v>23.076923076923077</v>
      </c>
      <c r="H39" s="101">
        <f t="shared" si="3"/>
        <v>25.961538461538463</v>
      </c>
    </row>
    <row r="40" spans="1:8">
      <c r="B40" s="39">
        <v>3</v>
      </c>
      <c r="C40" s="104">
        <f>COUNTIF('SustainabilityData-10%sample'!AI$5:AI$108,$B40)</f>
        <v>32</v>
      </c>
      <c r="D40" s="8">
        <f>COUNTIF('SustainabilityData-10%sample'!AJ$5:AJ$108,$B40)</f>
        <v>33</v>
      </c>
      <c r="E40" s="8">
        <f>COUNTIF('SustainabilityData-10%sample'!AK$5:AK$108,$B40)</f>
        <v>30</v>
      </c>
      <c r="F40" s="77">
        <f t="shared" si="4"/>
        <v>30.76923076923077</v>
      </c>
      <c r="G40" s="77">
        <f t="shared" si="2"/>
        <v>31.73076923076923</v>
      </c>
      <c r="H40" s="77">
        <f t="shared" si="3"/>
        <v>28.846153846153843</v>
      </c>
    </row>
    <row r="41" spans="1:8">
      <c r="B41" s="39">
        <v>4</v>
      </c>
      <c r="C41" s="8">
        <f>COUNTIF('SustainabilityData-10%sample'!AI$5:AI$108,$B41)</f>
        <v>36</v>
      </c>
      <c r="D41" s="8">
        <f>COUNTIF('SustainabilityData-10%sample'!AJ$5:AJ$108,$B41)</f>
        <v>32</v>
      </c>
      <c r="E41" s="82">
        <f>COUNTIF('SustainabilityData-10%sample'!AK$5:AK$108,$B41)</f>
        <v>31</v>
      </c>
      <c r="F41" s="77">
        <f t="shared" si="4"/>
        <v>34.615384615384613</v>
      </c>
      <c r="G41" s="77">
        <f t="shared" si="2"/>
        <v>30.76923076923077</v>
      </c>
      <c r="H41" s="77">
        <f t="shared" si="3"/>
        <v>29.807692307692307</v>
      </c>
    </row>
    <row r="42" spans="1:8">
      <c r="B42" s="39">
        <v>5</v>
      </c>
      <c r="C42" s="8">
        <f>COUNTIF('SustainabilityData-10%sample'!AI$5:AI$108,$B42)</f>
        <v>9</v>
      </c>
      <c r="D42" s="8">
        <f>COUNTIF('SustainabilityData-10%sample'!AJ$5:AJ$108,$B42)</f>
        <v>8</v>
      </c>
      <c r="E42" s="104">
        <f>COUNTIF('SustainabilityData-10%sample'!AK$5:AK$108,$B42)</f>
        <v>5</v>
      </c>
      <c r="F42" s="113">
        <f t="shared" si="4"/>
        <v>8.6538461538461533</v>
      </c>
      <c r="G42" s="113">
        <f t="shared" si="2"/>
        <v>7.6923076923076925</v>
      </c>
      <c r="H42" s="113">
        <f t="shared" si="3"/>
        <v>4.8076923076923084</v>
      </c>
    </row>
    <row r="43" spans="1:8">
      <c r="B43" s="39" t="s">
        <v>1</v>
      </c>
      <c r="C43" s="8">
        <f>SUM(C38:C42)</f>
        <v>104</v>
      </c>
      <c r="D43" s="8">
        <f>SUM(D38:D42)</f>
        <v>104</v>
      </c>
      <c r="E43" s="8">
        <f>SUM(E38:E42)</f>
        <v>104</v>
      </c>
      <c r="G43" s="43"/>
    </row>
    <row r="44" spans="1:8">
      <c r="B44" s="40"/>
      <c r="C44" s="41"/>
      <c r="D44" s="41"/>
    </row>
    <row r="45" spans="1:8" ht="15.5">
      <c r="A45" s="117" t="s">
        <v>278</v>
      </c>
      <c r="B45" s="118"/>
      <c r="C45" s="118"/>
      <c r="H45" s="43"/>
    </row>
    <row r="46" spans="1:8">
      <c r="A46" t="s">
        <v>304</v>
      </c>
      <c r="H46" s="43"/>
    </row>
    <row r="47" spans="1:8">
      <c r="A47" t="s">
        <v>67</v>
      </c>
      <c r="H47" s="43"/>
    </row>
    <row r="48" spans="1:8">
      <c r="A48" t="s">
        <v>303</v>
      </c>
      <c r="H48" s="43"/>
    </row>
    <row r="49" spans="1:4">
      <c r="A49" t="s">
        <v>305</v>
      </c>
    </row>
    <row r="54" spans="1:4" ht="10" customHeight="1"/>
    <row r="55" spans="1:4" ht="10" customHeight="1"/>
    <row r="57" spans="1:4" ht="15.5">
      <c r="A57" s="117" t="s">
        <v>279</v>
      </c>
      <c r="B57" s="118"/>
      <c r="C57" s="118"/>
      <c r="D57" s="118"/>
    </row>
    <row r="58" spans="1:4" ht="16" customHeight="1">
      <c r="A58" t="s">
        <v>289</v>
      </c>
    </row>
    <row r="59" spans="1:4" ht="16" customHeight="1">
      <c r="A59" t="s">
        <v>290</v>
      </c>
    </row>
    <row r="60" spans="1:4" ht="16" customHeight="1">
      <c r="A60" s="36" t="s">
        <v>55</v>
      </c>
    </row>
    <row r="61" spans="1:4" ht="16" customHeight="1">
      <c r="A61" s="14" t="s">
        <v>291</v>
      </c>
    </row>
    <row r="62" spans="1:4" ht="16" customHeight="1">
      <c r="A62" s="14" t="s">
        <v>58</v>
      </c>
    </row>
    <row r="63" spans="1:4" ht="16" customHeight="1">
      <c r="A63" s="14" t="s">
        <v>56</v>
      </c>
    </row>
    <row r="64" spans="1:4" ht="16" customHeight="1">
      <c r="A64" s="15" t="s">
        <v>57</v>
      </c>
    </row>
    <row r="65" spans="1:14" ht="16" customHeight="1">
      <c r="A65" s="44" t="s">
        <v>292</v>
      </c>
      <c r="N65" s="12"/>
    </row>
    <row r="66" spans="1:14" ht="16" customHeight="1">
      <c r="A66" t="s">
        <v>293</v>
      </c>
    </row>
    <row r="67" spans="1:14" ht="16" customHeight="1">
      <c r="A67" s="14" t="s">
        <v>59</v>
      </c>
      <c r="M67" s="12"/>
    </row>
    <row r="68" spans="1:14" ht="16" customHeight="1">
      <c r="A68" s="14" t="s">
        <v>313</v>
      </c>
    </row>
    <row r="69" spans="1:14" ht="16" customHeight="1">
      <c r="A69" t="s">
        <v>60</v>
      </c>
    </row>
    <row r="70" spans="1:14" ht="16" customHeight="1">
      <c r="A70" s="14"/>
    </row>
    <row r="71" spans="1:14" ht="16" customHeight="1">
      <c r="A71" s="14"/>
    </row>
    <row r="72" spans="1:14" ht="16" customHeight="1"/>
    <row r="73" spans="1:14" ht="16" customHeight="1"/>
    <row r="74" spans="1:14" ht="16" customHeight="1">
      <c r="A74" s="119" t="s">
        <v>68</v>
      </c>
      <c r="B74" s="120"/>
      <c r="C74" s="120"/>
    </row>
    <row r="75" spans="1:14" ht="16" customHeight="1"/>
    <row r="76" spans="1:14" ht="16" customHeight="1"/>
    <row r="77" spans="1:14" ht="16" customHeight="1"/>
    <row r="97" spans="1:7" ht="15.5">
      <c r="A97" s="117" t="s">
        <v>61</v>
      </c>
      <c r="B97" s="118"/>
      <c r="C97" s="118"/>
      <c r="D97" s="118"/>
      <c r="E97" s="118"/>
      <c r="F97" s="118"/>
    </row>
    <row r="98" spans="1:7">
      <c r="A98" t="s">
        <v>381</v>
      </c>
    </row>
    <row r="99" spans="1:7">
      <c r="A99" s="26" t="s">
        <v>314</v>
      </c>
    </row>
    <row r="100" spans="1:7">
      <c r="A100" s="13" t="s">
        <v>62</v>
      </c>
    </row>
    <row r="101" spans="1:7">
      <c r="G101" t="s">
        <v>401</v>
      </c>
    </row>
    <row r="117" spans="1:54" ht="15.5">
      <c r="A117" s="124" t="s">
        <v>388</v>
      </c>
      <c r="B117" s="124"/>
      <c r="C117" s="124"/>
      <c r="D117" s="124"/>
      <c r="E117" s="124"/>
      <c r="F117" s="124"/>
      <c r="G117" s="124"/>
      <c r="H117" s="43"/>
      <c r="I117" s="43"/>
      <c r="J117" s="43"/>
      <c r="K117" s="43"/>
      <c r="L117" s="43"/>
      <c r="M117" s="43"/>
      <c r="N117" s="43"/>
    </row>
    <row r="118" spans="1:54">
      <c r="A118" s="43" t="s">
        <v>338</v>
      </c>
      <c r="B118" s="43"/>
      <c r="C118" s="43"/>
      <c r="D118" s="43"/>
      <c r="E118" s="43"/>
      <c r="F118" s="43"/>
      <c r="G118" s="43"/>
      <c r="H118" s="43"/>
      <c r="I118" s="43"/>
      <c r="J118" s="43"/>
      <c r="K118" s="43"/>
      <c r="L118" s="43"/>
      <c r="M118" s="43"/>
      <c r="N118" s="43"/>
    </row>
    <row r="119" spans="1:54">
      <c r="A119" s="131" t="s">
        <v>339</v>
      </c>
      <c r="B119" s="125"/>
      <c r="C119" s="125"/>
      <c r="D119" s="125"/>
      <c r="E119" s="125"/>
      <c r="F119" s="125"/>
      <c r="G119" s="125"/>
      <c r="H119" s="125"/>
      <c r="I119" s="43"/>
      <c r="J119" s="43"/>
      <c r="K119" s="43"/>
      <c r="L119" s="43"/>
      <c r="M119" s="43"/>
      <c r="N119" s="43"/>
    </row>
    <row r="120" spans="1:54">
      <c r="A120" s="43" t="s">
        <v>385</v>
      </c>
    </row>
    <row r="121" spans="1:54">
      <c r="A121" t="s">
        <v>340</v>
      </c>
    </row>
    <row r="122" spans="1:54">
      <c r="A122" s="131" t="s">
        <v>347</v>
      </c>
    </row>
    <row r="123" spans="1:54" ht="16" customHeight="1">
      <c r="A123" t="s">
        <v>386</v>
      </c>
    </row>
    <row r="124" spans="1:54" ht="15" customHeight="1">
      <c r="A124" t="s">
        <v>392</v>
      </c>
      <c r="M124" s="133"/>
    </row>
    <row r="126" spans="1:54">
      <c r="A126" t="s">
        <v>343</v>
      </c>
      <c r="B126" s="132">
        <v>27089</v>
      </c>
      <c r="C126" s="132">
        <v>27454</v>
      </c>
      <c r="D126" s="132">
        <v>27820</v>
      </c>
      <c r="E126" s="132">
        <v>28185</v>
      </c>
      <c r="F126" s="132">
        <v>28550</v>
      </c>
      <c r="G126" s="132">
        <v>28915</v>
      </c>
      <c r="H126" s="132">
        <v>29281</v>
      </c>
      <c r="I126" s="132">
        <v>29646</v>
      </c>
      <c r="J126" s="132">
        <v>30011</v>
      </c>
      <c r="K126" s="132">
        <v>30376</v>
      </c>
      <c r="L126" s="132">
        <v>30742</v>
      </c>
      <c r="M126" s="132">
        <v>31107</v>
      </c>
      <c r="N126" s="132">
        <v>31472</v>
      </c>
      <c r="O126" s="132">
        <v>31837</v>
      </c>
      <c r="P126" s="132">
        <v>32203</v>
      </c>
      <c r="Q126" s="132">
        <v>32568</v>
      </c>
      <c r="R126" s="132">
        <v>32933</v>
      </c>
      <c r="S126" s="132">
        <v>33298</v>
      </c>
      <c r="T126" s="132">
        <v>33664</v>
      </c>
      <c r="U126" s="132">
        <v>34029</v>
      </c>
      <c r="V126" s="132">
        <v>34394</v>
      </c>
      <c r="W126" s="132">
        <v>34759</v>
      </c>
      <c r="X126" s="132">
        <v>35125</v>
      </c>
      <c r="Y126" s="132">
        <v>35490</v>
      </c>
      <c r="Z126" s="132">
        <v>35855</v>
      </c>
      <c r="AA126" s="132">
        <v>36220</v>
      </c>
      <c r="AB126" s="132">
        <v>36586</v>
      </c>
      <c r="AC126" s="132">
        <v>36951</v>
      </c>
      <c r="AD126" s="132">
        <v>37316</v>
      </c>
      <c r="AE126" s="132">
        <v>37681</v>
      </c>
      <c r="AF126" s="132">
        <v>38047</v>
      </c>
      <c r="AG126" s="132">
        <v>38412</v>
      </c>
      <c r="AH126" s="132">
        <v>38777</v>
      </c>
      <c r="AI126" s="132">
        <v>39142</v>
      </c>
      <c r="AJ126" s="132">
        <v>39508</v>
      </c>
      <c r="AK126" s="132">
        <v>39873</v>
      </c>
      <c r="AL126" s="132">
        <v>40238</v>
      </c>
      <c r="AM126" s="132">
        <v>40603</v>
      </c>
      <c r="AN126" s="132">
        <v>40969</v>
      </c>
      <c r="AO126" s="132">
        <v>41334</v>
      </c>
      <c r="AP126" s="132">
        <v>41699</v>
      </c>
      <c r="AQ126" s="132">
        <v>42064</v>
      </c>
      <c r="AR126" s="132">
        <v>42430</v>
      </c>
      <c r="AS126" s="132">
        <v>42795</v>
      </c>
      <c r="AT126" s="132">
        <v>43160</v>
      </c>
      <c r="AU126" s="132">
        <v>43525</v>
      </c>
      <c r="AV126" s="132">
        <v>43891</v>
      </c>
      <c r="AW126" s="132">
        <v>44256</v>
      </c>
      <c r="AX126" s="132">
        <v>44621</v>
      </c>
      <c r="AY126" s="132">
        <v>44986</v>
      </c>
      <c r="AZ126" s="132">
        <v>45352</v>
      </c>
      <c r="BA126" s="132">
        <v>45717</v>
      </c>
      <c r="BB126" s="132">
        <v>46082</v>
      </c>
    </row>
    <row r="127" spans="1:54" ht="29">
      <c r="A127" s="130" t="s">
        <v>341</v>
      </c>
      <c r="B127" s="127">
        <v>12.3</v>
      </c>
      <c r="C127" s="127">
        <v>16.399999999999999</v>
      </c>
      <c r="D127" s="127">
        <v>26.1</v>
      </c>
      <c r="E127" s="127">
        <v>26.1</v>
      </c>
      <c r="F127" s="127">
        <v>28.7</v>
      </c>
      <c r="G127" s="127">
        <v>30.7</v>
      </c>
      <c r="H127" s="127">
        <v>46.5</v>
      </c>
      <c r="I127" s="127">
        <v>56</v>
      </c>
      <c r="J127" s="127">
        <v>60</v>
      </c>
      <c r="K127" s="127">
        <v>68</v>
      </c>
      <c r="L127" s="127">
        <v>68</v>
      </c>
      <c r="M127" s="127">
        <v>87</v>
      </c>
      <c r="N127" s="127">
        <v>86.333333330000002</v>
      </c>
      <c r="O127" s="127">
        <v>85</v>
      </c>
      <c r="P127" s="127">
        <v>89</v>
      </c>
      <c r="Q127" s="127">
        <v>85.9</v>
      </c>
      <c r="R127" s="127">
        <v>90.1</v>
      </c>
      <c r="S127" s="127">
        <v>97.7</v>
      </c>
      <c r="T127" s="127">
        <v>94.8</v>
      </c>
      <c r="U127" s="127">
        <v>98.7</v>
      </c>
      <c r="V127" s="127">
        <v>88.3</v>
      </c>
      <c r="W127" s="127">
        <v>90.9</v>
      </c>
      <c r="X127" s="127">
        <v>90.1</v>
      </c>
      <c r="Y127" s="127">
        <v>90.9</v>
      </c>
      <c r="Z127" s="127">
        <v>89</v>
      </c>
      <c r="AA127" s="127">
        <v>80.900000000000006</v>
      </c>
      <c r="AB127" s="127">
        <v>97.1</v>
      </c>
      <c r="AC127" s="127">
        <v>104.4</v>
      </c>
      <c r="AD127" s="127">
        <v>97</v>
      </c>
      <c r="AE127" s="127">
        <v>110.2</v>
      </c>
      <c r="AF127" s="127">
        <v>109.8</v>
      </c>
      <c r="AG127" s="127">
        <v>118.3</v>
      </c>
      <c r="AH127" s="127">
        <v>146.1</v>
      </c>
      <c r="AI127" s="127">
        <v>142.30000000000001</v>
      </c>
      <c r="AJ127" s="127">
        <v>171.6</v>
      </c>
      <c r="AK127" s="127">
        <v>155.5</v>
      </c>
      <c r="AL127" s="127">
        <v>173.2</v>
      </c>
      <c r="AM127" s="127">
        <v>203</v>
      </c>
      <c r="AN127" s="127">
        <v>210.3</v>
      </c>
      <c r="AO127" s="127">
        <v>210.5</v>
      </c>
      <c r="AP127" s="127">
        <v>211.2</v>
      </c>
      <c r="AQ127" s="127">
        <v>178.8</v>
      </c>
      <c r="AR127" s="127">
        <v>169</v>
      </c>
      <c r="AS127" s="127">
        <v>189.8</v>
      </c>
      <c r="AT127" s="127">
        <v>200</v>
      </c>
      <c r="AU127" s="127">
        <v>201.2</v>
      </c>
      <c r="AV127" s="127">
        <v>208.9</v>
      </c>
      <c r="AW127" s="127">
        <v>200.3</v>
      </c>
      <c r="AX127" s="127">
        <v>266.8</v>
      </c>
      <c r="AY127" s="127">
        <v>245.1</v>
      </c>
      <c r="AZ127" s="127">
        <v>274.5</v>
      </c>
      <c r="BA127" s="127">
        <v>266.7</v>
      </c>
      <c r="BB127" s="127">
        <v>269.8</v>
      </c>
    </row>
    <row r="128" spans="1:54" ht="19" customHeight="1">
      <c r="A128" s="126" t="s">
        <v>390</v>
      </c>
      <c r="B128" s="127">
        <v>183.66324437591899</v>
      </c>
      <c r="C128" s="127">
        <v>216.30495559773999</v>
      </c>
      <c r="D128" s="127">
        <v>293.80207636013898</v>
      </c>
      <c r="E128" s="127">
        <v>258.49446979000197</v>
      </c>
      <c r="F128" s="127">
        <v>247.968824953227</v>
      </c>
      <c r="G128" s="127">
        <v>240.27873888427999</v>
      </c>
      <c r="H128" s="127">
        <v>307.42427877032702</v>
      </c>
      <c r="I128" s="127">
        <v>321.26132959884097</v>
      </c>
      <c r="J128" s="127">
        <v>297.21862053379698</v>
      </c>
      <c r="K128" s="127">
        <v>299.03065995131402</v>
      </c>
      <c r="L128" s="127">
        <v>289.00176150602698</v>
      </c>
      <c r="M128" s="127">
        <v>326.04248667215302</v>
      </c>
      <c r="N128" s="127">
        <v>286.42429096758599</v>
      </c>
      <c r="O128" s="127">
        <v>238.38857632558501</v>
      </c>
      <c r="P128" s="127">
        <v>229.04393984077299</v>
      </c>
      <c r="Q128" s="127">
        <v>212.52647895016099</v>
      </c>
      <c r="R128" s="127">
        <v>208.29007156872299</v>
      </c>
      <c r="S128" s="127">
        <v>216.07424169208201</v>
      </c>
      <c r="T128" s="127">
        <v>208.00535905520599</v>
      </c>
      <c r="U128" s="127">
        <v>214.49287374702701</v>
      </c>
      <c r="V128" s="127">
        <v>189.42320988967299</v>
      </c>
      <c r="W128" s="127">
        <v>187.50075981966401</v>
      </c>
      <c r="X128" s="127">
        <v>181.829361812347</v>
      </c>
      <c r="Y128" s="127">
        <v>180.222541834157</v>
      </c>
      <c r="Z128" s="127">
        <v>174.20152022970299</v>
      </c>
      <c r="AA128" s="127">
        <v>158.49183398847501</v>
      </c>
      <c r="AB128" s="127">
        <v>187.445770370145</v>
      </c>
      <c r="AC128" s="127">
        <v>195.553620397656</v>
      </c>
      <c r="AD128" s="127">
        <v>177.112055830744</v>
      </c>
      <c r="AE128" s="127">
        <v>196.26601976153401</v>
      </c>
      <c r="AF128" s="127">
        <v>192.572085504911</v>
      </c>
      <c r="AG128" s="127">
        <v>201.86730611161599</v>
      </c>
      <c r="AH128" s="127">
        <v>241.30391855567501</v>
      </c>
      <c r="AI128" s="127">
        <v>229.21599465528101</v>
      </c>
      <c r="AJ128" s="127">
        <v>267.41032883040401</v>
      </c>
      <c r="AK128" s="127">
        <v>235.333265923482</v>
      </c>
      <c r="AL128" s="127">
        <v>256.86365203168702</v>
      </c>
      <c r="AM128" s="127">
        <v>288.185956427821</v>
      </c>
      <c r="AN128" s="127">
        <v>293.93255191337403</v>
      </c>
      <c r="AO128" s="127">
        <v>291.70602311160002</v>
      </c>
      <c r="AP128" s="127">
        <v>288.25646165742501</v>
      </c>
      <c r="AQ128" s="127">
        <v>243.42265901960999</v>
      </c>
      <c r="AR128" s="127">
        <v>229.12203171019999</v>
      </c>
      <c r="AS128" s="127">
        <v>251.8646</v>
      </c>
      <c r="AT128" s="127">
        <v>262.51236399604397</v>
      </c>
      <c r="AU128" s="127">
        <v>260.22651072124802</v>
      </c>
      <c r="AV128" s="127">
        <v>263.50788973383999</v>
      </c>
      <c r="AW128" s="127">
        <v>248.87462546816499</v>
      </c>
      <c r="AX128" s="127">
        <v>310.02066549912399</v>
      </c>
      <c r="AY128" s="127">
        <v>267.03423645320203</v>
      </c>
      <c r="AZ128" s="127">
        <v>287.49921073401703</v>
      </c>
      <c r="BA128" s="127">
        <v>272.44872979214801</v>
      </c>
      <c r="BB128" s="127">
        <v>267.38207617625102</v>
      </c>
    </row>
    <row r="129" spans="1:54">
      <c r="A129" s="126" t="s">
        <v>389</v>
      </c>
      <c r="B129" s="129">
        <f>B127*B131</f>
        <v>185.05280898876404</v>
      </c>
      <c r="C129" s="129">
        <f>C127*C131</f>
        <v>217.4217821782178</v>
      </c>
      <c r="D129" s="129">
        <f>D127*D131</f>
        <v>296.16864406779661</v>
      </c>
      <c r="E129" s="129">
        <f t="shared" ref="E129:BB129" si="5">E127*E131</f>
        <v>260.805223880597</v>
      </c>
      <c r="F129" s="129">
        <f t="shared" si="5"/>
        <v>249.54090909090908</v>
      </c>
      <c r="G129" s="129">
        <f t="shared" si="5"/>
        <v>241.80764705882353</v>
      </c>
      <c r="H129" s="129">
        <f t="shared" si="5"/>
        <v>309.76865671641792</v>
      </c>
      <c r="I129" s="129">
        <f t="shared" si="5"/>
        <v>324.60606060606057</v>
      </c>
      <c r="J129" s="129">
        <f t="shared" si="5"/>
        <v>299.77611940298505</v>
      </c>
      <c r="K129" s="129">
        <f t="shared" si="5"/>
        <v>301.49668874172187</v>
      </c>
      <c r="L129" s="129">
        <f t="shared" si="5"/>
        <v>291.83333333333337</v>
      </c>
      <c r="M129" s="129">
        <f t="shared" si="5"/>
        <v>329.07627118644064</v>
      </c>
      <c r="N129" s="129">
        <f t="shared" si="5"/>
        <v>289.00083332217503</v>
      </c>
      <c r="O129" s="129">
        <f t="shared" si="5"/>
        <v>240.62367864693445</v>
      </c>
      <c r="P129" s="129">
        <f t="shared" si="5"/>
        <v>230.95155038759691</v>
      </c>
      <c r="Q129" s="129">
        <f t="shared" si="5"/>
        <v>214.58973880597017</v>
      </c>
      <c r="R129" s="129">
        <f t="shared" si="5"/>
        <v>210.18101045296166</v>
      </c>
      <c r="S129" s="129">
        <f t="shared" si="5"/>
        <v>218.03383333333332</v>
      </c>
      <c r="T129" s="129">
        <f t="shared" si="5"/>
        <v>209.81355371900824</v>
      </c>
      <c r="U129" s="129">
        <f t="shared" si="5"/>
        <v>216.3</v>
      </c>
      <c r="V129" s="129">
        <f t="shared" si="5"/>
        <v>191.00759289176088</v>
      </c>
      <c r="W129" s="129">
        <f t="shared" si="5"/>
        <v>189.29253499222398</v>
      </c>
      <c r="X129" s="129">
        <f t="shared" si="5"/>
        <v>183.34939209726443</v>
      </c>
      <c r="Y129" s="129">
        <f t="shared" si="5"/>
        <v>181.93587443946191</v>
      </c>
      <c r="Z129" s="129">
        <f t="shared" si="5"/>
        <v>175.76843657817108</v>
      </c>
      <c r="AA129" s="129">
        <f t="shared" si="5"/>
        <v>160.00753323485969</v>
      </c>
      <c r="AB129" s="129">
        <f t="shared" si="5"/>
        <v>189.25312954876273</v>
      </c>
      <c r="AC129" s="129">
        <f t="shared" si="5"/>
        <v>197.4457627118644</v>
      </c>
      <c r="AD129" s="129">
        <f t="shared" si="5"/>
        <v>178.65612104539201</v>
      </c>
      <c r="AE129" s="129">
        <f t="shared" si="5"/>
        <v>198.06416107382552</v>
      </c>
      <c r="AF129" s="129">
        <f t="shared" si="5"/>
        <v>194.21690885072655</v>
      </c>
      <c r="AG129" s="129">
        <f t="shared" si="5"/>
        <v>203.60372750642674</v>
      </c>
      <c r="AH129" s="129">
        <f t="shared" si="5"/>
        <v>243.62129514321293</v>
      </c>
      <c r="AI129" s="129">
        <f t="shared" si="5"/>
        <v>231.23750000000001</v>
      </c>
      <c r="AJ129" s="129">
        <f t="shared" si="5"/>
        <v>269.68591549295775</v>
      </c>
      <c r="AK129" s="129">
        <f t="shared" si="5"/>
        <v>237.41676168757127</v>
      </c>
      <c r="AL129" s="129">
        <f t="shared" si="5"/>
        <v>259.1226815642458</v>
      </c>
      <c r="AM129" s="129">
        <f t="shared" si="5"/>
        <v>290.71336898395725</v>
      </c>
      <c r="AN129" s="129">
        <f t="shared" si="5"/>
        <v>296.7246575342466</v>
      </c>
      <c r="AO129" s="129">
        <f t="shared" si="5"/>
        <v>294.21659707724422</v>
      </c>
      <c r="AP129" s="129">
        <f t="shared" si="5"/>
        <v>290.94320987654316</v>
      </c>
      <c r="AQ129" s="129">
        <f t="shared" si="5"/>
        <v>245.55200000000002</v>
      </c>
      <c r="AR129" s="129">
        <f t="shared" si="5"/>
        <v>231.1450459652707</v>
      </c>
      <c r="AS129" s="129">
        <f t="shared" si="5"/>
        <v>254.1422</v>
      </c>
      <c r="AT129" s="129">
        <f t="shared" si="5"/>
        <v>264.88625123639957</v>
      </c>
      <c r="AU129" s="129">
        <f t="shared" si="5"/>
        <v>262.57972709551655</v>
      </c>
      <c r="AV129" s="129">
        <f t="shared" si="5"/>
        <v>265.8907794676806</v>
      </c>
      <c r="AW129" s="129">
        <f t="shared" si="5"/>
        <v>251.12518726591762</v>
      </c>
      <c r="AX129" s="129">
        <f t="shared" si="5"/>
        <v>312.82416812609461</v>
      </c>
      <c r="AY129" s="129">
        <f t="shared" si="5"/>
        <v>269.44901477832514</v>
      </c>
      <c r="AZ129" s="129">
        <f t="shared" si="5"/>
        <v>290.09905288082081</v>
      </c>
      <c r="BA129" s="129">
        <f t="shared" si="5"/>
        <v>274.91247113163973</v>
      </c>
      <c r="BB129" s="129">
        <f t="shared" si="5"/>
        <v>269.8</v>
      </c>
    </row>
    <row r="130" spans="1:54">
      <c r="A130" t="s">
        <v>345</v>
      </c>
      <c r="B130">
        <v>89</v>
      </c>
      <c r="C130">
        <v>101</v>
      </c>
      <c r="D130">
        <v>118</v>
      </c>
      <c r="E130">
        <v>134</v>
      </c>
      <c r="F130">
        <v>154</v>
      </c>
      <c r="G130">
        <v>170</v>
      </c>
      <c r="H130">
        <v>201</v>
      </c>
      <c r="I130">
        <v>231</v>
      </c>
      <c r="J130">
        <v>268</v>
      </c>
      <c r="K130">
        <v>302</v>
      </c>
      <c r="L130">
        <v>312</v>
      </c>
      <c r="M130">
        <v>354</v>
      </c>
      <c r="N130">
        <v>400</v>
      </c>
      <c r="O130">
        <v>473</v>
      </c>
      <c r="P130">
        <v>516</v>
      </c>
      <c r="Q130">
        <v>536</v>
      </c>
      <c r="R130">
        <v>574</v>
      </c>
      <c r="S130">
        <v>600</v>
      </c>
      <c r="T130">
        <v>605</v>
      </c>
      <c r="U130">
        <v>611</v>
      </c>
      <c r="V130">
        <v>619</v>
      </c>
      <c r="W130">
        <v>643</v>
      </c>
      <c r="X130">
        <v>658</v>
      </c>
      <c r="Y130">
        <v>669</v>
      </c>
      <c r="Z130">
        <v>678</v>
      </c>
      <c r="AA130">
        <v>677</v>
      </c>
      <c r="AB130">
        <v>687</v>
      </c>
      <c r="AC130">
        <v>708</v>
      </c>
      <c r="AD130">
        <v>727</v>
      </c>
      <c r="AE130">
        <v>745</v>
      </c>
      <c r="AF130">
        <v>757</v>
      </c>
      <c r="AG130">
        <v>778</v>
      </c>
      <c r="AH130">
        <v>803</v>
      </c>
      <c r="AI130">
        <v>824</v>
      </c>
      <c r="AJ130">
        <v>852</v>
      </c>
      <c r="AK130">
        <v>877</v>
      </c>
      <c r="AL130">
        <v>895</v>
      </c>
      <c r="AM130">
        <v>935</v>
      </c>
      <c r="AN130">
        <v>949</v>
      </c>
      <c r="AO130">
        <v>958</v>
      </c>
      <c r="AP130">
        <v>972</v>
      </c>
      <c r="AQ130">
        <v>975</v>
      </c>
      <c r="AR130">
        <v>979</v>
      </c>
      <c r="AS130">
        <v>1000</v>
      </c>
      <c r="AT130">
        <v>1011</v>
      </c>
      <c r="AU130">
        <v>1026</v>
      </c>
      <c r="AV130">
        <v>1052</v>
      </c>
      <c r="AW130">
        <v>1068</v>
      </c>
      <c r="AX130">
        <v>1142</v>
      </c>
      <c r="AY130">
        <v>1218</v>
      </c>
      <c r="AZ130">
        <v>1267</v>
      </c>
      <c r="BA130">
        <v>1299</v>
      </c>
      <c r="BB130">
        <v>1339</v>
      </c>
    </row>
    <row r="131" spans="1:54">
      <c r="A131" s="13" t="s">
        <v>342</v>
      </c>
      <c r="B131" s="128">
        <f>$BB130/B130</f>
        <v>15.044943820224718</v>
      </c>
      <c r="C131" s="128">
        <f>$BB130/C130</f>
        <v>13.257425742574258</v>
      </c>
      <c r="D131" s="128">
        <f>$BB130/D130</f>
        <v>11.347457627118644</v>
      </c>
      <c r="E131" s="128">
        <f t="shared" ref="E131:BB131" si="6">$BB130/E130</f>
        <v>9.9925373134328357</v>
      </c>
      <c r="F131" s="128">
        <f t="shared" si="6"/>
        <v>8.6948051948051948</v>
      </c>
      <c r="G131" s="128">
        <f t="shared" si="6"/>
        <v>7.8764705882352946</v>
      </c>
      <c r="H131" s="128">
        <f t="shared" si="6"/>
        <v>6.6616915422885574</v>
      </c>
      <c r="I131" s="128">
        <f t="shared" si="6"/>
        <v>5.7965367965367962</v>
      </c>
      <c r="J131" s="128">
        <f t="shared" si="6"/>
        <v>4.9962686567164178</v>
      </c>
      <c r="K131" s="128">
        <f t="shared" si="6"/>
        <v>4.4337748344370862</v>
      </c>
      <c r="L131" s="128">
        <f t="shared" si="6"/>
        <v>4.291666666666667</v>
      </c>
      <c r="M131" s="128">
        <f t="shared" si="6"/>
        <v>3.7824858757062145</v>
      </c>
      <c r="N131" s="128">
        <f t="shared" si="6"/>
        <v>3.3475000000000001</v>
      </c>
      <c r="O131" s="128">
        <f t="shared" si="6"/>
        <v>2.8308668076109935</v>
      </c>
      <c r="P131" s="128">
        <f t="shared" si="6"/>
        <v>2.5949612403100777</v>
      </c>
      <c r="Q131" s="128">
        <f t="shared" si="6"/>
        <v>2.4981343283582089</v>
      </c>
      <c r="R131" s="128">
        <f t="shared" si="6"/>
        <v>2.3327526132404182</v>
      </c>
      <c r="S131" s="128">
        <f t="shared" si="6"/>
        <v>2.2316666666666665</v>
      </c>
      <c r="T131" s="128">
        <f t="shared" si="6"/>
        <v>2.2132231404958675</v>
      </c>
      <c r="U131" s="128">
        <f t="shared" si="6"/>
        <v>2.1914893617021276</v>
      </c>
      <c r="V131" s="128">
        <f t="shared" si="6"/>
        <v>2.1631663974151856</v>
      </c>
      <c r="W131" s="128">
        <f t="shared" si="6"/>
        <v>2.0824261275272162</v>
      </c>
      <c r="X131" s="128">
        <f t="shared" si="6"/>
        <v>2.0349544072948329</v>
      </c>
      <c r="Y131" s="128">
        <f t="shared" si="6"/>
        <v>2.0014947683109119</v>
      </c>
      <c r="Z131" s="128">
        <f t="shared" si="6"/>
        <v>1.9749262536873156</v>
      </c>
      <c r="AA131" s="128">
        <f t="shared" si="6"/>
        <v>1.9778434268833087</v>
      </c>
      <c r="AB131" s="128">
        <f t="shared" si="6"/>
        <v>1.9490538573508005</v>
      </c>
      <c r="AC131" s="128">
        <f t="shared" si="6"/>
        <v>1.8912429378531073</v>
      </c>
      <c r="AD131" s="128">
        <f t="shared" si="6"/>
        <v>1.8418156808803301</v>
      </c>
      <c r="AE131" s="128">
        <f t="shared" si="6"/>
        <v>1.7973154362416108</v>
      </c>
      <c r="AF131" s="128">
        <f t="shared" si="6"/>
        <v>1.7688243064729194</v>
      </c>
      <c r="AG131" s="128">
        <f t="shared" si="6"/>
        <v>1.7210796915167095</v>
      </c>
      <c r="AH131" s="128">
        <f t="shared" si="6"/>
        <v>1.6674968866749689</v>
      </c>
      <c r="AI131" s="128">
        <f t="shared" si="6"/>
        <v>1.625</v>
      </c>
      <c r="AJ131" s="128">
        <f t="shared" si="6"/>
        <v>1.5715962441314555</v>
      </c>
      <c r="AK131" s="128">
        <f t="shared" si="6"/>
        <v>1.5267958950969214</v>
      </c>
      <c r="AL131" s="128">
        <f t="shared" si="6"/>
        <v>1.4960893854748603</v>
      </c>
      <c r="AM131" s="128">
        <f t="shared" si="6"/>
        <v>1.4320855614973262</v>
      </c>
      <c r="AN131" s="128">
        <f t="shared" si="6"/>
        <v>1.4109589041095891</v>
      </c>
      <c r="AO131" s="128">
        <f t="shared" si="6"/>
        <v>1.3977035490605427</v>
      </c>
      <c r="AP131" s="128">
        <f t="shared" si="6"/>
        <v>1.3775720164609053</v>
      </c>
      <c r="AQ131" s="128">
        <f t="shared" si="6"/>
        <v>1.3733333333333333</v>
      </c>
      <c r="AR131" s="128">
        <f t="shared" si="6"/>
        <v>1.3677221654749745</v>
      </c>
      <c r="AS131" s="128">
        <f t="shared" si="6"/>
        <v>1.339</v>
      </c>
      <c r="AT131" s="128">
        <f t="shared" si="6"/>
        <v>1.324431256181998</v>
      </c>
      <c r="AU131" s="128">
        <f t="shared" si="6"/>
        <v>1.3050682261208577</v>
      </c>
      <c r="AV131" s="128">
        <f t="shared" si="6"/>
        <v>1.2728136882129277</v>
      </c>
      <c r="AW131" s="128">
        <f t="shared" si="6"/>
        <v>1.2537453183520599</v>
      </c>
      <c r="AX131" s="128">
        <f t="shared" si="6"/>
        <v>1.1725043782837128</v>
      </c>
      <c r="AY131" s="128">
        <f t="shared" si="6"/>
        <v>1.0993431855500821</v>
      </c>
      <c r="AZ131" s="128">
        <f t="shared" si="6"/>
        <v>1.0568271507498026</v>
      </c>
      <c r="BA131" s="128">
        <f t="shared" si="6"/>
        <v>1.0307929176289454</v>
      </c>
      <c r="BB131" s="128">
        <f t="shared" si="6"/>
        <v>1</v>
      </c>
    </row>
    <row r="132" spans="1:54">
      <c r="B132" s="147" t="s">
        <v>384</v>
      </c>
    </row>
    <row r="133" spans="1:54">
      <c r="A133" s="118" t="s">
        <v>391</v>
      </c>
      <c r="B133" s="118"/>
      <c r="C133" s="118"/>
      <c r="D133" s="118"/>
      <c r="E133" s="118"/>
    </row>
    <row r="134" spans="1:54">
      <c r="A134" t="s">
        <v>344</v>
      </c>
      <c r="H134" s="148" t="s">
        <v>393</v>
      </c>
    </row>
    <row r="135" spans="1:54">
      <c r="A135" s="14" t="s">
        <v>387</v>
      </c>
      <c r="H135" s="148" t="s">
        <v>394</v>
      </c>
    </row>
    <row r="154" spans="1:3">
      <c r="A154" t="s">
        <v>66</v>
      </c>
    </row>
    <row r="155" spans="1:3" s="143" customFormat="1" ht="21">
      <c r="A155" s="141" t="s">
        <v>378</v>
      </c>
      <c r="B155" s="142"/>
      <c r="C155" s="142"/>
    </row>
    <row r="156" spans="1:3" s="143" customFormat="1">
      <c r="A156" s="144" t="b">
        <v>1</v>
      </c>
      <c r="B156" s="145" t="s">
        <v>373</v>
      </c>
    </row>
    <row r="157" spans="1:3" s="143" customFormat="1" ht="10.5">
      <c r="A157" s="146" t="s">
        <v>377</v>
      </c>
      <c r="B157" s="143" t="s">
        <v>374</v>
      </c>
    </row>
    <row r="158" spans="1:3" s="143" customFormat="1">
      <c r="A158" s="144" t="b">
        <v>0</v>
      </c>
      <c r="B158" s="145" t="s">
        <v>375</v>
      </c>
    </row>
    <row r="159" spans="1:3" s="143" customFormat="1" ht="10.5"/>
    <row r="160" spans="1:3" s="143" customFormat="1" ht="10.5"/>
    <row r="161" s="143" customFormat="1" ht="10.5"/>
    <row r="162" s="143" customFormat="1" ht="10.5"/>
    <row r="163" s="143" customFormat="1" ht="10.5"/>
    <row r="164" s="143" customFormat="1" ht="10.5"/>
    <row r="165" s="143" customFormat="1" ht="10.5"/>
    <row r="166" s="143" customFormat="1" ht="10.5"/>
    <row r="167" s="143" customFormat="1" ht="10.5"/>
    <row r="168" s="143" customFormat="1" ht="10.5"/>
  </sheetData>
  <conditionalFormatting sqref="B15">
    <cfRule type="containsText" dxfId="10" priority="12" operator="containsText" text="2091643">
      <formula>NOT(ISERROR(SEARCH("2091643",B15)))</formula>
    </cfRule>
  </conditionalFormatting>
  <conditionalFormatting sqref="C14">
    <cfRule type="containsText" dxfId="9" priority="1" operator="containsText" text="3037597">
      <formula>NOT(ISERROR(SEARCH("3037597",C14)))</formula>
    </cfRule>
  </conditionalFormatting>
  <conditionalFormatting sqref="C19">
    <cfRule type="containsText" dxfId="8" priority="11" operator="containsText" text="960988">
      <formula>NOT(ISERROR(SEARCH("960988",C19)))</formula>
    </cfRule>
  </conditionalFormatting>
  <conditionalFormatting sqref="C21">
    <cfRule type="containsText" dxfId="7" priority="10" operator="containsText" text="59878">
      <formula>NOT(ISERROR(SEARCH("59878",C21)))</formula>
    </cfRule>
  </conditionalFormatting>
  <conditionalFormatting sqref="C38">
    <cfRule type="containsText" dxfId="6" priority="2" operator="containsText" text="5">
      <formula>NOT(ISERROR(SEARCH("5",C38)))</formula>
    </cfRule>
  </conditionalFormatting>
  <conditionalFormatting sqref="C40">
    <cfRule type="containsText" dxfId="5" priority="8" operator="containsText" text="32">
      <formula>NOT(ISERROR(SEARCH("32",C40)))</formula>
    </cfRule>
  </conditionalFormatting>
  <conditionalFormatting sqref="D16">
    <cfRule type="iconSet" priority="19">
      <iconSet showValue="0">
        <cfvo type="percent" val="0"/>
        <cfvo type="num" val="-0.05"/>
        <cfvo type="num" val="0"/>
      </iconSet>
    </cfRule>
  </conditionalFormatting>
  <conditionalFormatting sqref="D17:D22 D14:D15">
    <cfRule type="iconSet" priority="20">
      <iconSet showValue="0">
        <cfvo type="percent" val="0"/>
        <cfvo type="num" val="-0.05"/>
        <cfvo type="num" val="0"/>
      </iconSet>
    </cfRule>
  </conditionalFormatting>
  <conditionalFormatting sqref="D38">
    <cfRule type="containsText" dxfId="4" priority="7" operator="containsText" text="7">
      <formula>NOT(ISERROR(SEARCH("7",D38)))</formula>
    </cfRule>
  </conditionalFormatting>
  <conditionalFormatting sqref="E42">
    <cfRule type="containsText" dxfId="3" priority="6" operator="containsText" text="5">
      <formula>NOT(ISERROR(SEARCH("5",E42)))</formula>
    </cfRule>
  </conditionalFormatting>
  <conditionalFormatting sqref="F38">
    <cfRule type="cellIs" dxfId="2" priority="5" operator="between">
      <formula>4.8</formula>
      <formula>4.9</formula>
    </cfRule>
  </conditionalFormatting>
  <conditionalFormatting sqref="G14">
    <cfRule type="containsText" dxfId="1" priority="3" operator="containsText" text="3236912">
      <formula>NOT(ISERROR(SEARCH("3236912",G14)))</formula>
    </cfRule>
  </conditionalFormatting>
  <conditionalFormatting sqref="H14:H15 H17:H22">
    <cfRule type="iconSet" priority="18">
      <iconSet showValue="0">
        <cfvo type="percent" val="0"/>
        <cfvo type="num" val="-0.05"/>
        <cfvo type="num" val="0"/>
      </iconSet>
    </cfRule>
  </conditionalFormatting>
  <conditionalFormatting sqref="H16">
    <cfRule type="iconSet" priority="17">
      <iconSet showValue="0">
        <cfvo type="percent" val="0"/>
        <cfvo type="num" val="-0.05"/>
        <cfvo type="num" val="0"/>
      </iconSet>
    </cfRule>
  </conditionalFormatting>
  <conditionalFormatting sqref="H39">
    <cfRule type="cellIs" dxfId="0" priority="4" operator="between">
      <formula>25.9</formula>
      <formula>26</formula>
    </cfRule>
  </conditionalFormatting>
  <hyperlinks>
    <hyperlink ref="B8" r:id="rId1" xr:uid="{B30F23CB-398D-434D-A603-D71F1589EBCB}"/>
    <hyperlink ref="B7" r:id="rId2" xr:uid="{CE3A96BF-ACE5-F441-82A9-7B1E450534A0}"/>
  </hyperlinks>
  <pageMargins left="0.7" right="0.7" top="0.75" bottom="0.75" header="0.3" footer="0.3"/>
  <pageSetup paperSize="9" orientation="portrait" r:id="rId3"/>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680E-C8DB-354C-8F98-DEAA739E0D11}">
  <dimension ref="A1:AK117"/>
  <sheetViews>
    <sheetView zoomScale="130" zoomScaleNormal="112" workbookViewId="0">
      <pane xSplit="1" ySplit="4" topLeftCell="C19" activePane="bottomRight" state="frozen"/>
      <selection pane="topRight" activeCell="B1" sqref="B1"/>
      <selection pane="bottomLeft" activeCell="A5" sqref="A5"/>
      <selection pane="bottomRight" activeCell="A108" sqref="A108"/>
    </sheetView>
  </sheetViews>
  <sheetFormatPr defaultColWidth="8.81640625" defaultRowHeight="14.5"/>
  <cols>
    <col min="1" max="27" width="8.81640625" style="49"/>
    <col min="28" max="28" width="13.1796875" style="49" customWidth="1"/>
    <col min="29" max="16384" width="8.81640625" style="49"/>
  </cols>
  <sheetData>
    <row r="1" spans="1:37">
      <c r="A1" s="64" t="s">
        <v>74</v>
      </c>
      <c r="B1" s="64"/>
      <c r="C1" s="64"/>
      <c r="D1" s="64"/>
      <c r="E1" s="151"/>
      <c r="F1" s="151"/>
      <c r="G1" s="63" t="s">
        <v>254</v>
      </c>
      <c r="H1" s="63"/>
      <c r="I1" s="63"/>
      <c r="J1" s="63"/>
      <c r="K1" s="63"/>
      <c r="L1" s="63"/>
      <c r="M1" s="63"/>
      <c r="N1" s="63"/>
      <c r="O1" s="63"/>
      <c r="P1" s="63"/>
      <c r="Q1" s="63"/>
      <c r="R1" s="63"/>
      <c r="S1" s="63"/>
      <c r="T1" s="63"/>
      <c r="U1" s="63"/>
      <c r="V1" s="75" t="s">
        <v>253</v>
      </c>
      <c r="W1" s="75"/>
      <c r="X1" s="75"/>
      <c r="Y1" s="75"/>
      <c r="Z1" s="75"/>
      <c r="AA1" s="75"/>
      <c r="AC1" s="74" t="s">
        <v>252</v>
      </c>
      <c r="AD1" s="74"/>
      <c r="AE1" s="74"/>
      <c r="AF1" s="74"/>
      <c r="AG1" s="74"/>
      <c r="AH1" s="74"/>
      <c r="AI1" s="74"/>
      <c r="AJ1" s="74"/>
      <c r="AK1" s="74"/>
    </row>
    <row r="2" spans="1:37" s="34" customFormat="1" ht="41" customHeight="1">
      <c r="A2" s="57" t="s">
        <v>251</v>
      </c>
      <c r="B2" s="57" t="s">
        <v>258</v>
      </c>
      <c r="C2" s="57"/>
      <c r="D2" s="57" t="s">
        <v>256</v>
      </c>
      <c r="E2" s="34" t="s">
        <v>250</v>
      </c>
      <c r="F2" s="34" t="s">
        <v>249</v>
      </c>
      <c r="G2" s="34" t="s">
        <v>248</v>
      </c>
      <c r="H2" s="34" t="s">
        <v>247</v>
      </c>
      <c r="I2" s="34" t="s">
        <v>246</v>
      </c>
      <c r="J2" s="34" t="s">
        <v>245</v>
      </c>
      <c r="K2" s="34" t="s">
        <v>244</v>
      </c>
      <c r="L2" s="34" t="s">
        <v>243</v>
      </c>
      <c r="M2" s="34" t="s">
        <v>242</v>
      </c>
      <c r="N2" s="34" t="s">
        <v>241</v>
      </c>
      <c r="O2" s="34" t="s">
        <v>240</v>
      </c>
      <c r="P2" s="34" t="s">
        <v>239</v>
      </c>
      <c r="Q2" s="34" t="s">
        <v>238</v>
      </c>
      <c r="R2" s="34" t="s">
        <v>237</v>
      </c>
      <c r="S2" s="34" t="s">
        <v>236</v>
      </c>
      <c r="T2" s="34" t="s">
        <v>235</v>
      </c>
      <c r="U2" s="61" t="s">
        <v>234</v>
      </c>
      <c r="V2" s="34" t="s">
        <v>233</v>
      </c>
      <c r="W2" s="34" t="s">
        <v>232</v>
      </c>
      <c r="X2" s="34" t="s">
        <v>231</v>
      </c>
      <c r="Y2" s="34" t="s">
        <v>230</v>
      </c>
      <c r="Z2" s="34" t="s">
        <v>229</v>
      </c>
      <c r="AA2" s="34" t="s">
        <v>228</v>
      </c>
      <c r="AB2" s="34" t="s">
        <v>70</v>
      </c>
      <c r="AC2" s="34" t="s">
        <v>227</v>
      </c>
      <c r="AD2" s="34" t="s">
        <v>226</v>
      </c>
      <c r="AE2" s="34" t="s">
        <v>225</v>
      </c>
      <c r="AF2" s="34" t="s">
        <v>224</v>
      </c>
      <c r="AG2" s="34" t="s">
        <v>223</v>
      </c>
      <c r="AH2" s="34" t="s">
        <v>222</v>
      </c>
      <c r="AI2" s="34" t="s">
        <v>221</v>
      </c>
      <c r="AJ2" s="34" t="s">
        <v>220</v>
      </c>
      <c r="AK2" s="34" t="s">
        <v>219</v>
      </c>
    </row>
    <row r="3" spans="1:37" s="56" customFormat="1" ht="52">
      <c r="A3" s="62" t="s">
        <v>73</v>
      </c>
      <c r="B3" s="57" t="s">
        <v>259</v>
      </c>
      <c r="C3" s="59"/>
      <c r="D3" s="59" t="s">
        <v>257</v>
      </c>
      <c r="E3" s="56" t="s">
        <v>72</v>
      </c>
      <c r="F3" s="56" t="s">
        <v>218</v>
      </c>
      <c r="G3" s="56" t="s">
        <v>216</v>
      </c>
      <c r="H3" s="56" t="s">
        <v>215</v>
      </c>
      <c r="I3" s="56" t="s">
        <v>214</v>
      </c>
      <c r="J3" s="56" t="s">
        <v>213</v>
      </c>
      <c r="K3" s="56" t="s">
        <v>212</v>
      </c>
      <c r="L3" s="56" t="s">
        <v>211</v>
      </c>
      <c r="M3" s="56" t="s">
        <v>210</v>
      </c>
      <c r="N3" s="56" t="s">
        <v>209</v>
      </c>
      <c r="O3" s="56" t="s">
        <v>208</v>
      </c>
      <c r="P3" s="56" t="s">
        <v>207</v>
      </c>
      <c r="Q3" s="56" t="s">
        <v>206</v>
      </c>
      <c r="R3" s="56" t="s">
        <v>205</v>
      </c>
      <c r="S3" s="56" t="s">
        <v>204</v>
      </c>
      <c r="U3" s="56" t="s">
        <v>217</v>
      </c>
      <c r="V3" s="56" t="s">
        <v>203</v>
      </c>
      <c r="W3" s="56" t="s">
        <v>202</v>
      </c>
      <c r="X3" s="56" t="s">
        <v>201</v>
      </c>
      <c r="Y3" s="56" t="s">
        <v>200</v>
      </c>
      <c r="Z3" s="56" t="s">
        <v>199</v>
      </c>
      <c r="AA3" s="56" t="s">
        <v>198</v>
      </c>
      <c r="AB3" s="56" t="s">
        <v>197</v>
      </c>
      <c r="AC3" s="56" t="s">
        <v>196</v>
      </c>
      <c r="AD3" s="56" t="s">
        <v>195</v>
      </c>
      <c r="AE3" s="56" t="s">
        <v>194</v>
      </c>
      <c r="AF3" s="56" t="s">
        <v>193</v>
      </c>
      <c r="AG3" s="56" t="s">
        <v>192</v>
      </c>
      <c r="AH3" s="56" t="s">
        <v>191</v>
      </c>
      <c r="AI3" s="56" t="s">
        <v>190</v>
      </c>
      <c r="AJ3" s="56" t="s">
        <v>189</v>
      </c>
      <c r="AK3" s="56" t="s">
        <v>188</v>
      </c>
    </row>
    <row r="4" spans="1:37" s="58" customFormat="1" ht="92.25" customHeight="1">
      <c r="A4" s="60" t="s">
        <v>355</v>
      </c>
      <c r="B4" s="59" t="s">
        <v>280</v>
      </c>
      <c r="C4" s="57"/>
      <c r="D4" s="58" t="s">
        <v>255</v>
      </c>
      <c r="E4" s="59" t="s">
        <v>71</v>
      </c>
      <c r="F4" s="59" t="s">
        <v>187</v>
      </c>
      <c r="G4" s="152" t="s">
        <v>186</v>
      </c>
      <c r="H4" s="152"/>
      <c r="I4" s="152"/>
      <c r="J4" s="152"/>
      <c r="K4" s="152"/>
      <c r="L4" s="152"/>
      <c r="M4" s="152"/>
      <c r="N4" s="152"/>
      <c r="O4" s="152"/>
      <c r="P4" s="152"/>
      <c r="Q4" s="152"/>
      <c r="R4" s="152"/>
      <c r="S4" s="152"/>
      <c r="T4" s="152"/>
      <c r="U4" s="152"/>
      <c r="V4" s="59" t="s">
        <v>185</v>
      </c>
      <c r="W4" s="59" t="s">
        <v>184</v>
      </c>
      <c r="X4" s="59" t="s">
        <v>182</v>
      </c>
      <c r="Y4" s="59" t="s">
        <v>182</v>
      </c>
      <c r="Z4" s="73" t="s">
        <v>182</v>
      </c>
      <c r="AA4" s="73" t="s">
        <v>182</v>
      </c>
      <c r="AB4" s="59" t="s">
        <v>183</v>
      </c>
      <c r="AC4" s="59" t="s">
        <v>182</v>
      </c>
      <c r="AD4" s="59" t="s">
        <v>182</v>
      </c>
      <c r="AE4" s="59" t="s">
        <v>182</v>
      </c>
      <c r="AF4" s="59" t="s">
        <v>182</v>
      </c>
      <c r="AG4" s="59" t="s">
        <v>182</v>
      </c>
      <c r="AH4" s="59" t="s">
        <v>182</v>
      </c>
      <c r="AI4" s="59" t="s">
        <v>182</v>
      </c>
      <c r="AJ4" s="59" t="s">
        <v>182</v>
      </c>
      <c r="AK4" s="59" t="s">
        <v>182</v>
      </c>
    </row>
    <row r="5" spans="1:37" ht="15.5">
      <c r="A5" s="49" t="s">
        <v>102</v>
      </c>
      <c r="B5" s="49">
        <v>14667</v>
      </c>
      <c r="C5" s="49" t="s">
        <v>399</v>
      </c>
      <c r="D5" s="134">
        <f t="shared" ref="D5:D36" si="0">B5/60</f>
        <v>244.45</v>
      </c>
      <c r="E5" s="71">
        <v>2</v>
      </c>
      <c r="F5" s="71">
        <v>2</v>
      </c>
      <c r="G5" s="71"/>
      <c r="H5" s="71">
        <v>2</v>
      </c>
      <c r="I5" s="71"/>
      <c r="J5" s="71">
        <v>4</v>
      </c>
      <c r="K5" s="71"/>
      <c r="L5" s="71"/>
      <c r="M5" s="71">
        <v>7</v>
      </c>
      <c r="N5" s="71"/>
      <c r="O5" s="71"/>
      <c r="P5" s="71"/>
      <c r="Q5" s="71"/>
      <c r="R5" s="71"/>
      <c r="S5" s="71"/>
      <c r="T5" s="71"/>
      <c r="U5" s="49">
        <f t="shared" ref="U5:U36" si="1">COUNT(G5:S5)</f>
        <v>3</v>
      </c>
      <c r="V5" s="71">
        <v>3</v>
      </c>
      <c r="W5" s="71">
        <v>3</v>
      </c>
      <c r="X5" s="71">
        <v>4</v>
      </c>
      <c r="Y5" s="71">
        <v>4</v>
      </c>
      <c r="Z5" s="71">
        <v>3</v>
      </c>
      <c r="AA5" s="71">
        <v>3</v>
      </c>
      <c r="AB5" s="71">
        <v>2</v>
      </c>
      <c r="AC5" s="71">
        <v>3</v>
      </c>
      <c r="AD5" s="71">
        <v>4</v>
      </c>
      <c r="AE5" s="71">
        <v>3</v>
      </c>
      <c r="AF5" s="71">
        <v>3</v>
      </c>
      <c r="AG5" s="71">
        <v>3</v>
      </c>
      <c r="AH5" s="71">
        <v>4</v>
      </c>
      <c r="AI5" s="71">
        <v>3</v>
      </c>
      <c r="AJ5" s="71">
        <v>3</v>
      </c>
      <c r="AK5" s="71">
        <v>2</v>
      </c>
    </row>
    <row r="6" spans="1:37" ht="15.5">
      <c r="A6" s="49" t="s">
        <v>84</v>
      </c>
      <c r="B6" s="49">
        <v>4705</v>
      </c>
      <c r="C6" s="49" t="s">
        <v>399</v>
      </c>
      <c r="D6" s="134">
        <f t="shared" si="0"/>
        <v>78.416666666666671</v>
      </c>
      <c r="E6" s="71">
        <v>1</v>
      </c>
      <c r="F6" s="71">
        <v>3</v>
      </c>
      <c r="G6" s="71"/>
      <c r="H6" s="71"/>
      <c r="I6" s="71">
        <v>3</v>
      </c>
      <c r="J6" s="71"/>
      <c r="K6" s="71">
        <v>5</v>
      </c>
      <c r="L6" s="71">
        <v>6</v>
      </c>
      <c r="M6" s="71">
        <v>7</v>
      </c>
      <c r="N6" s="71">
        <v>8</v>
      </c>
      <c r="O6" s="71"/>
      <c r="P6" s="71"/>
      <c r="Q6" s="71"/>
      <c r="R6" s="71">
        <v>12</v>
      </c>
      <c r="S6" s="71">
        <v>13</v>
      </c>
      <c r="T6" s="71"/>
      <c r="U6" s="49">
        <f t="shared" si="1"/>
        <v>7</v>
      </c>
      <c r="V6" s="71">
        <v>4</v>
      </c>
      <c r="W6" s="71">
        <v>3</v>
      </c>
      <c r="X6" s="71">
        <v>3</v>
      </c>
      <c r="Y6" s="71">
        <v>3</v>
      </c>
      <c r="Z6" s="71">
        <v>3</v>
      </c>
      <c r="AA6" s="71">
        <v>3</v>
      </c>
      <c r="AB6" s="71">
        <v>7</v>
      </c>
      <c r="AC6" s="71">
        <v>3</v>
      </c>
      <c r="AD6" s="71">
        <v>3</v>
      </c>
      <c r="AE6" s="71">
        <v>3</v>
      </c>
      <c r="AF6" s="71">
        <v>3</v>
      </c>
      <c r="AG6" s="71">
        <v>3</v>
      </c>
      <c r="AH6" s="71">
        <v>3</v>
      </c>
      <c r="AI6" s="71">
        <v>3</v>
      </c>
      <c r="AJ6" s="71">
        <v>3</v>
      </c>
      <c r="AK6" s="71">
        <v>3</v>
      </c>
    </row>
    <row r="7" spans="1:37">
      <c r="A7" s="49" t="s">
        <v>80</v>
      </c>
      <c r="B7" s="49">
        <v>4705</v>
      </c>
      <c r="C7" s="49" t="s">
        <v>399</v>
      </c>
      <c r="D7" s="134">
        <f t="shared" si="0"/>
        <v>78.416666666666671</v>
      </c>
      <c r="E7">
        <v>2</v>
      </c>
      <c r="F7">
        <v>2</v>
      </c>
      <c r="G7"/>
      <c r="H7"/>
      <c r="I7"/>
      <c r="J7">
        <v>4</v>
      </c>
      <c r="K7"/>
      <c r="L7">
        <v>6</v>
      </c>
      <c r="M7"/>
      <c r="N7"/>
      <c r="O7">
        <v>9</v>
      </c>
      <c r="P7"/>
      <c r="Q7"/>
      <c r="R7">
        <v>12</v>
      </c>
      <c r="S7"/>
      <c r="T7"/>
      <c r="U7" s="49">
        <f t="shared" si="1"/>
        <v>4</v>
      </c>
      <c r="V7">
        <v>4</v>
      </c>
      <c r="W7">
        <v>4</v>
      </c>
      <c r="X7">
        <v>2</v>
      </c>
      <c r="Y7">
        <v>3</v>
      </c>
      <c r="Z7">
        <v>3</v>
      </c>
      <c r="AA7">
        <v>4</v>
      </c>
      <c r="AB7">
        <v>4</v>
      </c>
      <c r="AC7">
        <v>4</v>
      </c>
      <c r="AD7">
        <v>3</v>
      </c>
      <c r="AE7">
        <v>4</v>
      </c>
      <c r="AF7">
        <v>5</v>
      </c>
      <c r="AG7">
        <v>4</v>
      </c>
      <c r="AH7">
        <v>4</v>
      </c>
      <c r="AI7">
        <v>4</v>
      </c>
      <c r="AJ7">
        <v>3</v>
      </c>
      <c r="AK7">
        <v>4</v>
      </c>
    </row>
    <row r="8" spans="1:37" ht="15.5">
      <c r="A8" s="49" t="s">
        <v>140</v>
      </c>
      <c r="B8" s="49">
        <v>2553</v>
      </c>
      <c r="C8" s="49" t="s">
        <v>399</v>
      </c>
      <c r="D8" s="134">
        <f t="shared" si="0"/>
        <v>42.55</v>
      </c>
      <c r="E8" s="71">
        <v>2</v>
      </c>
      <c r="F8" s="71">
        <v>5</v>
      </c>
      <c r="G8" s="71"/>
      <c r="H8" s="71">
        <v>2</v>
      </c>
      <c r="I8" s="71">
        <v>3</v>
      </c>
      <c r="J8" s="71">
        <v>4</v>
      </c>
      <c r="K8" s="71"/>
      <c r="L8" s="71">
        <v>6</v>
      </c>
      <c r="M8" s="71">
        <v>7</v>
      </c>
      <c r="N8" s="71">
        <v>8</v>
      </c>
      <c r="O8" s="71">
        <v>9</v>
      </c>
      <c r="P8" s="71">
        <v>10</v>
      </c>
      <c r="Q8" s="71">
        <v>11</v>
      </c>
      <c r="R8" s="71">
        <v>12</v>
      </c>
      <c r="S8" s="71"/>
      <c r="T8" s="71"/>
      <c r="U8" s="49">
        <f t="shared" si="1"/>
        <v>10</v>
      </c>
      <c r="V8" s="71">
        <v>6</v>
      </c>
      <c r="W8" s="71">
        <v>3</v>
      </c>
      <c r="X8" s="71">
        <v>2</v>
      </c>
      <c r="Y8" s="71">
        <v>3</v>
      </c>
      <c r="Z8" s="71">
        <v>5</v>
      </c>
      <c r="AA8" s="71">
        <v>5</v>
      </c>
      <c r="AB8" s="71">
        <v>2</v>
      </c>
      <c r="AC8" s="71">
        <v>3</v>
      </c>
      <c r="AD8" s="71">
        <v>4</v>
      </c>
      <c r="AE8" s="71">
        <v>5</v>
      </c>
      <c r="AF8" s="71">
        <v>4</v>
      </c>
      <c r="AG8" s="71">
        <v>5</v>
      </c>
      <c r="AH8" s="71">
        <v>5</v>
      </c>
      <c r="AI8" s="71">
        <v>2</v>
      </c>
      <c r="AJ8" s="71">
        <v>2</v>
      </c>
      <c r="AK8" s="71">
        <v>1</v>
      </c>
    </row>
    <row r="9" spans="1:37" ht="15.5">
      <c r="A9" s="49" t="s">
        <v>115</v>
      </c>
      <c r="B9" s="49">
        <v>2127</v>
      </c>
      <c r="C9" s="49" t="s">
        <v>399</v>
      </c>
      <c r="D9" s="134">
        <f t="shared" si="0"/>
        <v>35.450000000000003</v>
      </c>
      <c r="E9" s="71">
        <v>2</v>
      </c>
      <c r="F9" s="71">
        <v>1</v>
      </c>
      <c r="G9" s="71"/>
      <c r="H9" s="71">
        <v>2</v>
      </c>
      <c r="I9" s="71">
        <v>3</v>
      </c>
      <c r="J9" s="71">
        <v>4</v>
      </c>
      <c r="K9" s="71">
        <v>5</v>
      </c>
      <c r="L9" s="71">
        <v>6</v>
      </c>
      <c r="M9" s="71">
        <v>7</v>
      </c>
      <c r="N9" s="71">
        <v>8</v>
      </c>
      <c r="O9" s="71"/>
      <c r="P9" s="71"/>
      <c r="Q9" s="71">
        <v>11</v>
      </c>
      <c r="R9" s="71">
        <v>12</v>
      </c>
      <c r="S9" s="71">
        <v>13</v>
      </c>
      <c r="T9" s="71"/>
      <c r="U9" s="49">
        <f t="shared" si="1"/>
        <v>10</v>
      </c>
      <c r="V9" s="71">
        <v>4</v>
      </c>
      <c r="W9" s="71">
        <v>4</v>
      </c>
      <c r="X9" s="71">
        <v>3</v>
      </c>
      <c r="Y9" s="71">
        <v>3</v>
      </c>
      <c r="Z9" s="71">
        <v>5</v>
      </c>
      <c r="AA9" s="71">
        <v>3</v>
      </c>
      <c r="AB9" s="71">
        <v>2</v>
      </c>
      <c r="AC9" s="71">
        <v>4</v>
      </c>
      <c r="AD9" s="71">
        <v>5</v>
      </c>
      <c r="AE9" s="71">
        <v>4</v>
      </c>
      <c r="AF9" s="71">
        <v>5</v>
      </c>
      <c r="AG9" s="71">
        <v>5</v>
      </c>
      <c r="AH9" s="71">
        <v>5</v>
      </c>
      <c r="AI9" s="71">
        <v>3</v>
      </c>
      <c r="AJ9" s="71">
        <v>3</v>
      </c>
      <c r="AK9" s="71">
        <v>3</v>
      </c>
    </row>
    <row r="10" spans="1:37" ht="15.5">
      <c r="A10" s="49" t="s">
        <v>180</v>
      </c>
      <c r="B10" s="49">
        <v>1861</v>
      </c>
      <c r="C10" s="49" t="s">
        <v>399</v>
      </c>
      <c r="D10" s="134">
        <f t="shared" si="0"/>
        <v>31.016666666666666</v>
      </c>
      <c r="E10" s="71">
        <v>2</v>
      </c>
      <c r="F10" s="71">
        <v>5</v>
      </c>
      <c r="G10" s="71"/>
      <c r="H10" s="71">
        <v>2</v>
      </c>
      <c r="I10" s="71">
        <v>3</v>
      </c>
      <c r="J10" s="71"/>
      <c r="K10" s="71">
        <v>5</v>
      </c>
      <c r="L10" s="71">
        <v>6</v>
      </c>
      <c r="M10" s="71"/>
      <c r="N10" s="71">
        <v>8</v>
      </c>
      <c r="O10" s="71"/>
      <c r="P10" s="71">
        <v>10</v>
      </c>
      <c r="Q10" s="71"/>
      <c r="R10" s="71">
        <v>12</v>
      </c>
      <c r="S10" s="71"/>
      <c r="T10" s="71"/>
      <c r="U10" s="49">
        <f t="shared" si="1"/>
        <v>7</v>
      </c>
      <c r="V10" s="71">
        <v>6</v>
      </c>
      <c r="W10" s="71">
        <v>3</v>
      </c>
      <c r="X10" s="71">
        <v>3</v>
      </c>
      <c r="Y10" s="71">
        <v>4</v>
      </c>
      <c r="Z10" s="71">
        <v>4</v>
      </c>
      <c r="AA10" s="71">
        <v>4</v>
      </c>
      <c r="AB10" s="72">
        <v>1</v>
      </c>
      <c r="AC10" s="71">
        <v>3</v>
      </c>
      <c r="AD10" s="71">
        <v>4</v>
      </c>
      <c r="AE10" s="71">
        <v>3</v>
      </c>
      <c r="AF10" s="71">
        <v>4</v>
      </c>
      <c r="AG10" s="71">
        <v>4</v>
      </c>
      <c r="AH10" s="71">
        <v>4</v>
      </c>
      <c r="AI10" s="71">
        <v>2</v>
      </c>
      <c r="AJ10" s="71">
        <v>1</v>
      </c>
      <c r="AK10" s="71">
        <v>2</v>
      </c>
    </row>
    <row r="11" spans="1:37" ht="15.5">
      <c r="A11" s="49" t="s">
        <v>142</v>
      </c>
      <c r="B11" s="49">
        <v>1790</v>
      </c>
      <c r="C11" s="49" t="s">
        <v>399</v>
      </c>
      <c r="D11" s="134">
        <f t="shared" si="0"/>
        <v>29.833333333333332</v>
      </c>
      <c r="E11" s="71">
        <v>2</v>
      </c>
      <c r="F11" s="71">
        <v>2</v>
      </c>
      <c r="G11" s="71"/>
      <c r="H11" s="71">
        <v>2</v>
      </c>
      <c r="I11" s="71"/>
      <c r="J11" s="71"/>
      <c r="K11" s="71"/>
      <c r="L11" s="71"/>
      <c r="M11" s="71"/>
      <c r="N11" s="71"/>
      <c r="O11" s="71"/>
      <c r="P11" s="71"/>
      <c r="Q11" s="71"/>
      <c r="R11" s="71"/>
      <c r="S11" s="71"/>
      <c r="T11" s="71"/>
      <c r="U11" s="49">
        <f t="shared" si="1"/>
        <v>1</v>
      </c>
      <c r="V11" s="71">
        <v>5</v>
      </c>
      <c r="W11" s="71">
        <v>5</v>
      </c>
      <c r="X11" s="71">
        <v>5</v>
      </c>
      <c r="Y11" s="71">
        <v>5</v>
      </c>
      <c r="Z11" s="71">
        <v>5</v>
      </c>
      <c r="AA11" s="71">
        <v>5</v>
      </c>
      <c r="AB11" s="71">
        <v>3</v>
      </c>
      <c r="AC11" s="71">
        <v>5</v>
      </c>
      <c r="AD11" s="71">
        <v>5</v>
      </c>
      <c r="AE11" s="71">
        <v>5</v>
      </c>
      <c r="AF11" s="71">
        <v>5</v>
      </c>
      <c r="AG11" s="71">
        <v>5</v>
      </c>
      <c r="AH11" s="71">
        <v>5</v>
      </c>
      <c r="AI11" s="71">
        <v>5</v>
      </c>
      <c r="AJ11" s="71">
        <v>5</v>
      </c>
      <c r="AK11" s="71">
        <v>5</v>
      </c>
    </row>
    <row r="12" spans="1:37" ht="15.5">
      <c r="A12" s="49" t="s">
        <v>91</v>
      </c>
      <c r="B12" s="49">
        <v>1768</v>
      </c>
      <c r="C12" s="49" t="s">
        <v>399</v>
      </c>
      <c r="D12" s="134">
        <f t="shared" si="0"/>
        <v>29.466666666666665</v>
      </c>
      <c r="E12" s="71">
        <v>2</v>
      </c>
      <c r="F12" s="71">
        <v>3</v>
      </c>
      <c r="G12" s="71"/>
      <c r="H12" s="71">
        <v>2</v>
      </c>
      <c r="I12" s="71">
        <v>3</v>
      </c>
      <c r="J12" s="71"/>
      <c r="K12" s="71"/>
      <c r="L12" s="71">
        <v>6</v>
      </c>
      <c r="M12" s="71">
        <v>7</v>
      </c>
      <c r="N12" s="71"/>
      <c r="O12" s="71"/>
      <c r="P12" s="71"/>
      <c r="Q12" s="71">
        <v>11</v>
      </c>
      <c r="R12" s="71"/>
      <c r="S12" s="71"/>
      <c r="T12" s="71"/>
      <c r="U12" s="49">
        <f t="shared" si="1"/>
        <v>5</v>
      </c>
      <c r="V12" s="71">
        <v>1</v>
      </c>
      <c r="W12" s="71">
        <v>2</v>
      </c>
      <c r="X12" s="71">
        <v>2</v>
      </c>
      <c r="Y12" s="71">
        <v>3</v>
      </c>
      <c r="Z12" s="71">
        <v>5</v>
      </c>
      <c r="AA12" s="71">
        <v>5</v>
      </c>
      <c r="AB12" s="71">
        <v>4</v>
      </c>
      <c r="AC12" s="71">
        <v>3</v>
      </c>
      <c r="AD12" s="71">
        <v>3</v>
      </c>
      <c r="AE12" s="71">
        <v>3</v>
      </c>
      <c r="AF12" s="71">
        <v>2</v>
      </c>
      <c r="AG12" s="71">
        <v>3</v>
      </c>
      <c r="AH12" s="71">
        <v>3</v>
      </c>
      <c r="AI12" s="71">
        <v>3</v>
      </c>
      <c r="AJ12" s="71">
        <v>3</v>
      </c>
      <c r="AK12" s="71">
        <v>2</v>
      </c>
    </row>
    <row r="13" spans="1:37" ht="15.5">
      <c r="A13" s="49" t="s">
        <v>123</v>
      </c>
      <c r="B13" s="49">
        <v>1639</v>
      </c>
      <c r="C13" s="49" t="s">
        <v>399</v>
      </c>
      <c r="D13" s="134">
        <f t="shared" si="0"/>
        <v>27.316666666666666</v>
      </c>
      <c r="E13" s="71">
        <v>2</v>
      </c>
      <c r="F13" s="71">
        <v>2</v>
      </c>
      <c r="G13" s="71"/>
      <c r="H13" s="71">
        <v>2</v>
      </c>
      <c r="I13" s="71">
        <v>3</v>
      </c>
      <c r="J13" s="71"/>
      <c r="K13" s="71">
        <v>5</v>
      </c>
      <c r="L13" s="71">
        <v>6</v>
      </c>
      <c r="M13" s="71">
        <v>7</v>
      </c>
      <c r="N13" s="71"/>
      <c r="O13" s="71"/>
      <c r="P13" s="71">
        <v>10</v>
      </c>
      <c r="Q13" s="71">
        <v>11</v>
      </c>
      <c r="R13" s="71">
        <v>12</v>
      </c>
      <c r="S13" s="71"/>
      <c r="T13" s="71"/>
      <c r="U13" s="49">
        <f t="shared" si="1"/>
        <v>8</v>
      </c>
      <c r="V13" s="71">
        <v>2</v>
      </c>
      <c r="W13" s="71">
        <v>4</v>
      </c>
      <c r="X13" s="71">
        <v>3</v>
      </c>
      <c r="Y13" s="71">
        <v>4</v>
      </c>
      <c r="Z13" s="71">
        <v>4</v>
      </c>
      <c r="AA13" s="71">
        <v>5</v>
      </c>
      <c r="AB13" s="71">
        <v>3</v>
      </c>
      <c r="AC13" s="71">
        <v>2</v>
      </c>
      <c r="AD13" s="71">
        <v>5</v>
      </c>
      <c r="AE13" s="71">
        <v>5</v>
      </c>
      <c r="AF13" s="71">
        <v>4</v>
      </c>
      <c r="AG13" s="71">
        <v>5</v>
      </c>
      <c r="AH13" s="71">
        <v>5</v>
      </c>
      <c r="AI13" s="71">
        <v>4</v>
      </c>
      <c r="AJ13" s="71">
        <v>3</v>
      </c>
      <c r="AK13" s="71">
        <v>3</v>
      </c>
    </row>
    <row r="14" spans="1:37" ht="15.5">
      <c r="A14" s="49" t="s">
        <v>109</v>
      </c>
      <c r="B14" s="49">
        <v>1636</v>
      </c>
      <c r="C14" s="49" t="s">
        <v>399</v>
      </c>
      <c r="D14" s="134">
        <f t="shared" si="0"/>
        <v>27.266666666666666</v>
      </c>
      <c r="E14" s="71">
        <v>2</v>
      </c>
      <c r="F14" s="71">
        <v>4</v>
      </c>
      <c r="G14" s="71">
        <v>1</v>
      </c>
      <c r="H14" s="71">
        <v>2</v>
      </c>
      <c r="I14" s="71">
        <v>3</v>
      </c>
      <c r="J14" s="71">
        <v>4</v>
      </c>
      <c r="K14" s="71">
        <v>5</v>
      </c>
      <c r="L14" s="71">
        <v>6</v>
      </c>
      <c r="M14" s="71">
        <v>7</v>
      </c>
      <c r="N14" s="71">
        <v>8</v>
      </c>
      <c r="O14" s="71">
        <v>9</v>
      </c>
      <c r="P14" s="71">
        <v>10</v>
      </c>
      <c r="Q14" s="71">
        <v>11</v>
      </c>
      <c r="R14" s="71">
        <v>12</v>
      </c>
      <c r="S14" s="71">
        <v>13</v>
      </c>
      <c r="T14" s="71"/>
      <c r="U14" s="49">
        <f t="shared" si="1"/>
        <v>13</v>
      </c>
      <c r="V14" s="71">
        <v>6</v>
      </c>
      <c r="W14" s="71">
        <v>5</v>
      </c>
      <c r="X14" s="71">
        <v>5</v>
      </c>
      <c r="Y14" s="71">
        <v>5</v>
      </c>
      <c r="Z14" s="71">
        <v>5</v>
      </c>
      <c r="AA14" s="71">
        <v>5</v>
      </c>
      <c r="AB14" s="71">
        <v>2</v>
      </c>
      <c r="AC14" s="71">
        <v>4</v>
      </c>
      <c r="AD14" s="71">
        <v>5</v>
      </c>
      <c r="AE14" s="71">
        <v>4</v>
      </c>
      <c r="AF14" s="71">
        <v>5</v>
      </c>
      <c r="AG14" s="71">
        <v>5</v>
      </c>
      <c r="AH14" s="71">
        <v>5</v>
      </c>
      <c r="AI14" s="71">
        <v>3</v>
      </c>
      <c r="AJ14" s="71">
        <v>3</v>
      </c>
      <c r="AK14" s="71">
        <v>3</v>
      </c>
    </row>
    <row r="15" spans="1:37" ht="15.5">
      <c r="A15" s="49" t="s">
        <v>88</v>
      </c>
      <c r="B15" s="49">
        <v>1582</v>
      </c>
      <c r="C15" s="49" t="s">
        <v>399</v>
      </c>
      <c r="D15" s="134">
        <f t="shared" si="0"/>
        <v>26.366666666666667</v>
      </c>
      <c r="E15" s="71">
        <v>1</v>
      </c>
      <c r="F15" s="71">
        <v>3</v>
      </c>
      <c r="G15" s="71">
        <v>1</v>
      </c>
      <c r="H15" s="71"/>
      <c r="I15" s="71"/>
      <c r="J15" s="71">
        <v>4</v>
      </c>
      <c r="K15" s="71"/>
      <c r="L15" s="71"/>
      <c r="M15" s="71">
        <v>7</v>
      </c>
      <c r="N15" s="71"/>
      <c r="O15" s="71"/>
      <c r="P15" s="71"/>
      <c r="Q15" s="71">
        <v>11</v>
      </c>
      <c r="R15" s="71"/>
      <c r="S15" s="71"/>
      <c r="T15" s="71"/>
      <c r="U15" s="49">
        <f t="shared" si="1"/>
        <v>4</v>
      </c>
      <c r="V15" s="71">
        <v>5</v>
      </c>
      <c r="W15" s="71">
        <v>5</v>
      </c>
      <c r="X15" s="71">
        <v>5</v>
      </c>
      <c r="Y15" s="71">
        <v>5</v>
      </c>
      <c r="Z15" s="71">
        <v>4</v>
      </c>
      <c r="AA15" s="71">
        <v>5</v>
      </c>
      <c r="AB15" s="71">
        <v>1</v>
      </c>
      <c r="AC15" s="71">
        <v>5</v>
      </c>
      <c r="AD15" s="71">
        <v>5</v>
      </c>
      <c r="AE15" s="71">
        <v>5</v>
      </c>
      <c r="AF15" s="71">
        <v>4</v>
      </c>
      <c r="AG15" s="71">
        <v>5</v>
      </c>
      <c r="AH15" s="71">
        <v>5</v>
      </c>
      <c r="AI15" s="71">
        <v>5</v>
      </c>
      <c r="AJ15" s="71">
        <v>4</v>
      </c>
      <c r="AK15" s="71">
        <v>5</v>
      </c>
    </row>
    <row r="16" spans="1:37" ht="15.5">
      <c r="A16" s="49" t="s">
        <v>134</v>
      </c>
      <c r="B16" s="49">
        <v>1572</v>
      </c>
      <c r="C16" s="49" t="s">
        <v>399</v>
      </c>
      <c r="D16" s="134">
        <f t="shared" si="0"/>
        <v>26.2</v>
      </c>
      <c r="E16" s="71">
        <v>2</v>
      </c>
      <c r="F16" s="71">
        <v>2</v>
      </c>
      <c r="G16" s="71"/>
      <c r="H16" s="71"/>
      <c r="I16" s="71">
        <v>3</v>
      </c>
      <c r="J16" s="71">
        <v>4</v>
      </c>
      <c r="K16" s="71">
        <v>5</v>
      </c>
      <c r="L16" s="71">
        <v>6</v>
      </c>
      <c r="M16" s="71">
        <v>7</v>
      </c>
      <c r="N16" s="71"/>
      <c r="O16" s="71"/>
      <c r="P16" s="71">
        <v>10</v>
      </c>
      <c r="Q16" s="71">
        <v>11</v>
      </c>
      <c r="R16" s="71">
        <v>12</v>
      </c>
      <c r="S16" s="71"/>
      <c r="T16" s="71"/>
      <c r="U16" s="49">
        <f t="shared" si="1"/>
        <v>8</v>
      </c>
      <c r="V16" s="71">
        <v>3</v>
      </c>
      <c r="W16" s="71">
        <v>4</v>
      </c>
      <c r="X16" s="71">
        <v>4</v>
      </c>
      <c r="Y16" s="71">
        <v>4</v>
      </c>
      <c r="Z16" s="71">
        <v>4</v>
      </c>
      <c r="AA16" s="71">
        <v>4</v>
      </c>
      <c r="AB16" s="71">
        <v>5</v>
      </c>
      <c r="AC16" s="71">
        <v>4</v>
      </c>
      <c r="AD16" s="71">
        <v>5</v>
      </c>
      <c r="AE16" s="71">
        <v>5</v>
      </c>
      <c r="AF16" s="71">
        <v>5</v>
      </c>
      <c r="AG16" s="71">
        <v>4</v>
      </c>
      <c r="AH16" s="71">
        <v>4</v>
      </c>
      <c r="AI16" s="71">
        <v>4</v>
      </c>
      <c r="AJ16" s="71">
        <v>4</v>
      </c>
      <c r="AK16" s="71">
        <v>4</v>
      </c>
    </row>
    <row r="17" spans="1:37" ht="15.5">
      <c r="A17" s="49" t="s">
        <v>103</v>
      </c>
      <c r="B17" s="49">
        <v>1506</v>
      </c>
      <c r="C17" s="49" t="s">
        <v>399</v>
      </c>
      <c r="D17" s="134">
        <f t="shared" si="0"/>
        <v>25.1</v>
      </c>
      <c r="E17" s="71">
        <v>2</v>
      </c>
      <c r="F17" s="71">
        <v>6</v>
      </c>
      <c r="G17" s="71"/>
      <c r="H17" s="71">
        <v>2</v>
      </c>
      <c r="I17" s="71">
        <v>3</v>
      </c>
      <c r="J17" s="71"/>
      <c r="K17" s="71">
        <v>5</v>
      </c>
      <c r="L17" s="71">
        <v>6</v>
      </c>
      <c r="M17" s="71">
        <v>7</v>
      </c>
      <c r="N17" s="71">
        <v>8</v>
      </c>
      <c r="O17" s="71"/>
      <c r="P17" s="71">
        <v>10</v>
      </c>
      <c r="Q17" s="71">
        <v>11</v>
      </c>
      <c r="R17" s="71">
        <v>12</v>
      </c>
      <c r="S17" s="71">
        <v>13</v>
      </c>
      <c r="T17" s="71"/>
      <c r="U17" s="49">
        <f t="shared" si="1"/>
        <v>10</v>
      </c>
      <c r="V17" s="71">
        <v>4</v>
      </c>
      <c r="W17" s="71">
        <v>4</v>
      </c>
      <c r="X17" s="71">
        <v>4</v>
      </c>
      <c r="Y17" s="71">
        <v>4</v>
      </c>
      <c r="Z17" s="71">
        <v>5</v>
      </c>
      <c r="AA17" s="71">
        <v>5</v>
      </c>
      <c r="AB17" s="71">
        <v>4</v>
      </c>
      <c r="AC17" s="71">
        <v>5</v>
      </c>
      <c r="AD17" s="71">
        <v>5</v>
      </c>
      <c r="AE17" s="71">
        <v>5</v>
      </c>
      <c r="AF17" s="71">
        <v>5</v>
      </c>
      <c r="AG17" s="71">
        <v>3</v>
      </c>
      <c r="AH17" s="71">
        <v>5</v>
      </c>
      <c r="AI17" s="71">
        <v>4</v>
      </c>
      <c r="AJ17" s="71">
        <v>4</v>
      </c>
      <c r="AK17" s="71">
        <v>4</v>
      </c>
    </row>
    <row r="18" spans="1:37" ht="15.5">
      <c r="A18" s="49" t="s">
        <v>128</v>
      </c>
      <c r="B18" s="49">
        <v>1353</v>
      </c>
      <c r="C18" s="49" t="s">
        <v>399</v>
      </c>
      <c r="D18" s="134">
        <f t="shared" si="0"/>
        <v>22.55</v>
      </c>
      <c r="E18" s="71">
        <v>1</v>
      </c>
      <c r="F18" s="71">
        <v>2</v>
      </c>
      <c r="G18" s="71"/>
      <c r="H18" s="71">
        <v>2</v>
      </c>
      <c r="I18" s="71"/>
      <c r="J18" s="71">
        <v>4</v>
      </c>
      <c r="K18" s="71">
        <v>5</v>
      </c>
      <c r="L18" s="71">
        <v>6</v>
      </c>
      <c r="M18" s="71"/>
      <c r="N18" s="71">
        <v>8</v>
      </c>
      <c r="O18" s="71">
        <v>9</v>
      </c>
      <c r="P18" s="71">
        <v>10</v>
      </c>
      <c r="Q18" s="71">
        <v>11</v>
      </c>
      <c r="R18" s="71">
        <v>12</v>
      </c>
      <c r="S18" s="71"/>
      <c r="T18" s="71"/>
      <c r="U18" s="49">
        <f t="shared" si="1"/>
        <v>9</v>
      </c>
      <c r="V18" s="71">
        <v>3</v>
      </c>
      <c r="W18" s="71">
        <v>1</v>
      </c>
      <c r="X18" s="71">
        <v>5</v>
      </c>
      <c r="Y18" s="71">
        <v>1</v>
      </c>
      <c r="Z18" s="71">
        <v>5</v>
      </c>
      <c r="AA18" s="71">
        <v>5</v>
      </c>
      <c r="AB18" s="71">
        <v>3</v>
      </c>
      <c r="AC18" s="71">
        <v>5</v>
      </c>
      <c r="AD18" s="71">
        <v>5</v>
      </c>
      <c r="AE18" s="71">
        <v>1</v>
      </c>
      <c r="AF18" s="71">
        <v>3</v>
      </c>
      <c r="AG18" s="71">
        <v>2</v>
      </c>
      <c r="AH18" s="71">
        <v>1</v>
      </c>
      <c r="AI18" s="71">
        <v>2</v>
      </c>
      <c r="AJ18" s="71">
        <v>3</v>
      </c>
      <c r="AK18" s="71">
        <v>1</v>
      </c>
    </row>
    <row r="19" spans="1:37" ht="15.5">
      <c r="A19" s="49" t="s">
        <v>144</v>
      </c>
      <c r="B19" s="49">
        <v>1316</v>
      </c>
      <c r="C19" s="49" t="s">
        <v>399</v>
      </c>
      <c r="D19" s="134">
        <f t="shared" si="0"/>
        <v>21.933333333333334</v>
      </c>
      <c r="E19" s="71">
        <v>2</v>
      </c>
      <c r="F19" s="71">
        <v>6</v>
      </c>
      <c r="G19" s="71"/>
      <c r="H19" s="71">
        <v>2</v>
      </c>
      <c r="I19" s="71">
        <v>3</v>
      </c>
      <c r="J19" s="71">
        <v>4</v>
      </c>
      <c r="K19" s="71">
        <v>5</v>
      </c>
      <c r="L19" s="71">
        <v>6</v>
      </c>
      <c r="M19" s="71">
        <v>7</v>
      </c>
      <c r="N19" s="71"/>
      <c r="O19" s="71"/>
      <c r="P19" s="71">
        <v>10</v>
      </c>
      <c r="Q19" s="71">
        <v>11</v>
      </c>
      <c r="R19" s="71">
        <v>12</v>
      </c>
      <c r="S19" s="71"/>
      <c r="T19" s="71"/>
      <c r="U19" s="49">
        <f t="shared" si="1"/>
        <v>9</v>
      </c>
      <c r="V19" s="71">
        <v>6</v>
      </c>
      <c r="W19" s="71">
        <v>3</v>
      </c>
      <c r="X19" s="71">
        <v>3</v>
      </c>
      <c r="Y19" s="71">
        <v>3</v>
      </c>
      <c r="Z19" s="71">
        <v>4</v>
      </c>
      <c r="AA19" s="71">
        <v>5</v>
      </c>
      <c r="AB19" s="71">
        <v>2</v>
      </c>
      <c r="AC19" s="71">
        <v>3</v>
      </c>
      <c r="AD19" s="71">
        <v>3</v>
      </c>
      <c r="AE19" s="71">
        <v>3</v>
      </c>
      <c r="AF19" s="71">
        <v>4</v>
      </c>
      <c r="AG19" s="71">
        <v>4</v>
      </c>
      <c r="AH19" s="71">
        <v>3</v>
      </c>
      <c r="AI19" s="71">
        <v>3</v>
      </c>
      <c r="AJ19" s="71">
        <v>3</v>
      </c>
      <c r="AK19" s="71">
        <v>3</v>
      </c>
    </row>
    <row r="20" spans="1:37" ht="15.5">
      <c r="A20" s="49" t="s">
        <v>117</v>
      </c>
      <c r="B20" s="49">
        <v>1168</v>
      </c>
      <c r="C20" s="49" t="s">
        <v>399</v>
      </c>
      <c r="D20" s="134">
        <f t="shared" si="0"/>
        <v>19.466666666666665</v>
      </c>
      <c r="E20" s="71">
        <v>2</v>
      </c>
      <c r="F20" s="71">
        <v>2</v>
      </c>
      <c r="G20" s="71"/>
      <c r="H20" s="71">
        <v>2</v>
      </c>
      <c r="I20" s="71">
        <v>3</v>
      </c>
      <c r="J20" s="71"/>
      <c r="K20" s="71">
        <v>5</v>
      </c>
      <c r="L20" s="71">
        <v>6</v>
      </c>
      <c r="M20" s="71">
        <v>7</v>
      </c>
      <c r="N20" s="71">
        <v>8</v>
      </c>
      <c r="O20" s="71"/>
      <c r="P20" s="71"/>
      <c r="Q20" s="71">
        <v>11</v>
      </c>
      <c r="R20" s="71">
        <v>12</v>
      </c>
      <c r="S20" s="71"/>
      <c r="T20" s="71"/>
      <c r="U20" s="49">
        <f t="shared" si="1"/>
        <v>8</v>
      </c>
      <c r="V20" s="71">
        <v>2</v>
      </c>
      <c r="W20" s="71">
        <v>2</v>
      </c>
      <c r="X20" s="71">
        <v>3</v>
      </c>
      <c r="Y20" s="71">
        <v>3</v>
      </c>
      <c r="Z20" s="71">
        <v>5</v>
      </c>
      <c r="AA20" s="71">
        <v>5</v>
      </c>
      <c r="AB20" s="71">
        <v>5</v>
      </c>
      <c r="AC20" s="71">
        <v>3</v>
      </c>
      <c r="AD20" s="71">
        <v>4</v>
      </c>
      <c r="AE20" s="71">
        <v>3</v>
      </c>
      <c r="AF20" s="71">
        <v>5</v>
      </c>
      <c r="AG20" s="71">
        <v>4</v>
      </c>
      <c r="AH20" s="71">
        <v>4</v>
      </c>
      <c r="AI20" s="71">
        <v>2</v>
      </c>
      <c r="AJ20" s="71">
        <v>2</v>
      </c>
      <c r="AK20" s="71">
        <v>1</v>
      </c>
    </row>
    <row r="21" spans="1:37" ht="15.5">
      <c r="A21" s="49" t="s">
        <v>99</v>
      </c>
      <c r="B21" s="49">
        <v>1155</v>
      </c>
      <c r="C21" s="49" t="s">
        <v>399</v>
      </c>
      <c r="D21" s="134">
        <f t="shared" si="0"/>
        <v>19.25</v>
      </c>
      <c r="E21" s="71">
        <v>2</v>
      </c>
      <c r="F21" s="71">
        <v>1</v>
      </c>
      <c r="G21" s="71"/>
      <c r="H21" s="71">
        <v>2</v>
      </c>
      <c r="I21" s="71">
        <v>3</v>
      </c>
      <c r="J21" s="71"/>
      <c r="K21" s="71">
        <v>5</v>
      </c>
      <c r="L21" s="71">
        <v>6</v>
      </c>
      <c r="M21" s="71">
        <v>7</v>
      </c>
      <c r="N21" s="71">
        <v>8</v>
      </c>
      <c r="O21" s="71"/>
      <c r="P21" s="71"/>
      <c r="Q21" s="71">
        <v>11</v>
      </c>
      <c r="R21" s="71">
        <v>12</v>
      </c>
      <c r="S21" s="71"/>
      <c r="T21" s="71"/>
      <c r="U21" s="49">
        <f t="shared" si="1"/>
        <v>8</v>
      </c>
      <c r="V21" s="71">
        <v>4</v>
      </c>
      <c r="W21" s="71">
        <v>4</v>
      </c>
      <c r="X21" s="71">
        <v>4</v>
      </c>
      <c r="Y21" s="71">
        <v>4</v>
      </c>
      <c r="Z21" s="71">
        <v>2</v>
      </c>
      <c r="AA21" s="71">
        <v>5</v>
      </c>
      <c r="AB21" s="71">
        <v>4</v>
      </c>
      <c r="AC21" s="71">
        <v>4</v>
      </c>
      <c r="AD21" s="71">
        <v>4</v>
      </c>
      <c r="AE21" s="71">
        <v>4</v>
      </c>
      <c r="AF21" s="71">
        <v>4</v>
      </c>
      <c r="AG21" s="71">
        <v>4</v>
      </c>
      <c r="AH21" s="71">
        <v>4</v>
      </c>
      <c r="AI21" s="71">
        <v>5</v>
      </c>
      <c r="AJ21" s="71">
        <v>5</v>
      </c>
      <c r="AK21" s="71">
        <v>4</v>
      </c>
    </row>
    <row r="22" spans="1:37" ht="15.5">
      <c r="A22" s="49" t="s">
        <v>113</v>
      </c>
      <c r="B22" s="49">
        <v>1126</v>
      </c>
      <c r="C22" s="49" t="s">
        <v>399</v>
      </c>
      <c r="D22" s="134">
        <f t="shared" si="0"/>
        <v>18.766666666666666</v>
      </c>
      <c r="E22" s="71">
        <v>2</v>
      </c>
      <c r="F22" s="71">
        <v>6</v>
      </c>
      <c r="G22" s="71"/>
      <c r="H22" s="71">
        <v>2</v>
      </c>
      <c r="I22" s="71">
        <v>3</v>
      </c>
      <c r="J22" s="71">
        <v>4</v>
      </c>
      <c r="K22" s="71">
        <v>5</v>
      </c>
      <c r="L22" s="71">
        <v>6</v>
      </c>
      <c r="M22" s="71">
        <v>7</v>
      </c>
      <c r="N22" s="71">
        <v>8</v>
      </c>
      <c r="O22" s="71"/>
      <c r="P22" s="71">
        <v>10</v>
      </c>
      <c r="Q22" s="71">
        <v>11</v>
      </c>
      <c r="R22" s="71">
        <v>12</v>
      </c>
      <c r="S22" s="71">
        <v>13</v>
      </c>
      <c r="T22" s="71"/>
      <c r="U22" s="49">
        <f t="shared" si="1"/>
        <v>11</v>
      </c>
      <c r="V22" s="71">
        <v>6</v>
      </c>
      <c r="W22" s="71">
        <v>3</v>
      </c>
      <c r="X22" s="71">
        <v>3</v>
      </c>
      <c r="Y22" s="71">
        <v>4</v>
      </c>
      <c r="Z22" s="71">
        <v>3</v>
      </c>
      <c r="AA22" s="71">
        <v>5</v>
      </c>
      <c r="AB22" s="71">
        <v>2</v>
      </c>
      <c r="AC22" s="71">
        <v>5</v>
      </c>
      <c r="AD22" s="71">
        <v>5</v>
      </c>
      <c r="AE22" s="71">
        <v>5</v>
      </c>
      <c r="AF22" s="71">
        <v>5</v>
      </c>
      <c r="AG22" s="71">
        <v>5</v>
      </c>
      <c r="AH22" s="71">
        <v>5</v>
      </c>
      <c r="AI22" s="71">
        <v>4</v>
      </c>
      <c r="AJ22" s="71">
        <v>4</v>
      </c>
      <c r="AK22" s="71">
        <v>3</v>
      </c>
    </row>
    <row r="23" spans="1:37" ht="15.5">
      <c r="A23" s="49" t="s">
        <v>165</v>
      </c>
      <c r="B23" s="49">
        <v>1074</v>
      </c>
      <c r="C23" s="49" t="s">
        <v>399</v>
      </c>
      <c r="D23" s="134">
        <f t="shared" si="0"/>
        <v>17.899999999999999</v>
      </c>
      <c r="E23" s="71">
        <v>2</v>
      </c>
      <c r="F23" s="71">
        <v>6</v>
      </c>
      <c r="G23" s="71">
        <v>1</v>
      </c>
      <c r="H23" s="71">
        <v>2</v>
      </c>
      <c r="I23" s="71">
        <v>3</v>
      </c>
      <c r="J23" s="71">
        <v>4</v>
      </c>
      <c r="K23" s="71">
        <v>5</v>
      </c>
      <c r="L23" s="71">
        <v>6</v>
      </c>
      <c r="M23" s="71"/>
      <c r="N23" s="71"/>
      <c r="O23" s="71"/>
      <c r="P23" s="71">
        <v>10</v>
      </c>
      <c r="Q23" s="71">
        <v>11</v>
      </c>
      <c r="R23" s="71">
        <v>12</v>
      </c>
      <c r="S23" s="71"/>
      <c r="T23" s="71"/>
      <c r="U23" s="49">
        <f t="shared" si="1"/>
        <v>9</v>
      </c>
      <c r="V23" s="71">
        <v>5</v>
      </c>
      <c r="W23" s="71">
        <v>4</v>
      </c>
      <c r="X23" s="71">
        <v>4</v>
      </c>
      <c r="Y23" s="71">
        <v>4</v>
      </c>
      <c r="Z23" s="71">
        <v>5</v>
      </c>
      <c r="AA23" s="71">
        <v>5</v>
      </c>
      <c r="AB23" s="71">
        <v>2</v>
      </c>
      <c r="AC23" s="71">
        <v>5</v>
      </c>
      <c r="AD23" s="71">
        <v>5</v>
      </c>
      <c r="AE23" s="71">
        <v>5</v>
      </c>
      <c r="AF23" s="71">
        <v>5</v>
      </c>
      <c r="AG23" s="71">
        <v>5</v>
      </c>
      <c r="AH23" s="71">
        <v>5</v>
      </c>
      <c r="AI23" s="71">
        <v>3</v>
      </c>
      <c r="AJ23" s="71">
        <v>3</v>
      </c>
      <c r="AK23" s="71">
        <v>3</v>
      </c>
    </row>
    <row r="24" spans="1:37" ht="15.5">
      <c r="A24" s="49" t="s">
        <v>164</v>
      </c>
      <c r="B24" s="49">
        <v>1019</v>
      </c>
      <c r="C24" s="49" t="s">
        <v>399</v>
      </c>
      <c r="D24" s="134">
        <f t="shared" si="0"/>
        <v>16.983333333333334</v>
      </c>
      <c r="E24" s="71">
        <v>2</v>
      </c>
      <c r="F24" s="71">
        <v>2</v>
      </c>
      <c r="G24" s="71"/>
      <c r="H24" s="71">
        <v>2</v>
      </c>
      <c r="I24" s="71">
        <v>3</v>
      </c>
      <c r="J24" s="71"/>
      <c r="K24" s="71">
        <v>5</v>
      </c>
      <c r="L24" s="71">
        <v>6</v>
      </c>
      <c r="M24" s="71"/>
      <c r="N24" s="71">
        <v>8</v>
      </c>
      <c r="O24" s="71"/>
      <c r="P24" s="71"/>
      <c r="Q24" s="71"/>
      <c r="R24" s="71"/>
      <c r="S24" s="71"/>
      <c r="T24" s="71"/>
      <c r="U24" s="49">
        <f t="shared" si="1"/>
        <v>5</v>
      </c>
      <c r="V24" s="71">
        <v>3</v>
      </c>
      <c r="W24" s="71">
        <v>2</v>
      </c>
      <c r="X24" s="71">
        <v>3</v>
      </c>
      <c r="Y24" s="71">
        <v>3</v>
      </c>
      <c r="Z24" s="71">
        <v>3</v>
      </c>
      <c r="AA24" s="71">
        <v>3</v>
      </c>
      <c r="AB24" s="71">
        <v>7</v>
      </c>
      <c r="AC24" s="71">
        <v>4</v>
      </c>
      <c r="AD24" s="71">
        <v>3</v>
      </c>
      <c r="AE24" s="71">
        <v>4</v>
      </c>
      <c r="AF24" s="71">
        <v>3</v>
      </c>
      <c r="AG24" s="71">
        <v>1</v>
      </c>
      <c r="AH24" s="71">
        <v>5</v>
      </c>
      <c r="AI24" s="71">
        <v>2</v>
      </c>
      <c r="AJ24" s="71">
        <v>3</v>
      </c>
      <c r="AK24" s="71">
        <v>2</v>
      </c>
    </row>
    <row r="25" spans="1:37" ht="15.5">
      <c r="A25" s="49" t="s">
        <v>167</v>
      </c>
      <c r="B25" s="49">
        <v>999</v>
      </c>
      <c r="C25" s="49" t="s">
        <v>399</v>
      </c>
      <c r="D25" s="134">
        <f t="shared" si="0"/>
        <v>16.649999999999999</v>
      </c>
      <c r="E25" s="71">
        <v>2</v>
      </c>
      <c r="F25" s="71">
        <v>1</v>
      </c>
      <c r="G25" s="71"/>
      <c r="H25" s="71">
        <v>2</v>
      </c>
      <c r="I25" s="71">
        <v>3</v>
      </c>
      <c r="J25" s="71">
        <v>4</v>
      </c>
      <c r="K25" s="71"/>
      <c r="L25" s="71"/>
      <c r="M25" s="71">
        <v>7</v>
      </c>
      <c r="N25" s="71"/>
      <c r="O25" s="71">
        <v>9</v>
      </c>
      <c r="P25" s="71"/>
      <c r="Q25" s="71"/>
      <c r="R25" s="71"/>
      <c r="S25" s="71">
        <v>13</v>
      </c>
      <c r="T25" s="71"/>
      <c r="U25" s="49">
        <f t="shared" si="1"/>
        <v>6</v>
      </c>
      <c r="V25" s="71">
        <v>3</v>
      </c>
      <c r="W25" s="71">
        <v>4</v>
      </c>
      <c r="X25" s="71">
        <v>4</v>
      </c>
      <c r="Y25" s="71">
        <v>4</v>
      </c>
      <c r="Z25" s="71">
        <v>3</v>
      </c>
      <c r="AA25" s="71">
        <v>5</v>
      </c>
      <c r="AB25" s="71">
        <v>3</v>
      </c>
      <c r="AC25" s="71">
        <v>5</v>
      </c>
      <c r="AD25" s="71">
        <v>5</v>
      </c>
      <c r="AE25" s="71">
        <v>4</v>
      </c>
      <c r="AF25" s="71">
        <v>5</v>
      </c>
      <c r="AG25" s="71">
        <v>5</v>
      </c>
      <c r="AH25" s="71">
        <v>5</v>
      </c>
      <c r="AI25" s="71">
        <v>3</v>
      </c>
      <c r="AJ25" s="71">
        <v>2</v>
      </c>
      <c r="AK25" s="71">
        <v>2</v>
      </c>
    </row>
    <row r="26" spans="1:37" ht="15.5">
      <c r="A26" s="49" t="s">
        <v>151</v>
      </c>
      <c r="B26" s="49">
        <v>970</v>
      </c>
      <c r="C26" s="49" t="s">
        <v>399</v>
      </c>
      <c r="D26" s="134">
        <f t="shared" si="0"/>
        <v>16.166666666666668</v>
      </c>
      <c r="E26" s="71">
        <v>1</v>
      </c>
      <c r="F26" s="71">
        <v>2</v>
      </c>
      <c r="G26" s="71"/>
      <c r="H26" s="71">
        <v>2</v>
      </c>
      <c r="I26" s="71"/>
      <c r="J26" s="71"/>
      <c r="K26" s="71">
        <v>5</v>
      </c>
      <c r="L26" s="71">
        <v>6</v>
      </c>
      <c r="M26" s="71">
        <v>7</v>
      </c>
      <c r="N26" s="71">
        <v>8</v>
      </c>
      <c r="O26" s="71"/>
      <c r="P26" s="71"/>
      <c r="Q26" s="71">
        <v>11</v>
      </c>
      <c r="R26" s="71"/>
      <c r="S26" s="71"/>
      <c r="T26" s="71"/>
      <c r="U26" s="49">
        <f t="shared" si="1"/>
        <v>6</v>
      </c>
      <c r="V26" s="71">
        <v>6</v>
      </c>
      <c r="W26" s="71">
        <v>1</v>
      </c>
      <c r="X26" s="71">
        <v>1</v>
      </c>
      <c r="Y26" s="71">
        <v>1</v>
      </c>
      <c r="Z26" s="71">
        <v>5</v>
      </c>
      <c r="AA26" s="71">
        <v>5</v>
      </c>
      <c r="AB26" s="71">
        <v>7</v>
      </c>
      <c r="AC26" s="71">
        <v>5</v>
      </c>
      <c r="AD26" s="71">
        <v>5</v>
      </c>
      <c r="AE26" s="71">
        <v>5</v>
      </c>
      <c r="AF26" s="71">
        <v>5</v>
      </c>
      <c r="AG26" s="71">
        <v>5</v>
      </c>
      <c r="AH26" s="71">
        <v>5</v>
      </c>
      <c r="AI26" s="71">
        <v>3</v>
      </c>
      <c r="AJ26" s="71">
        <v>2</v>
      </c>
      <c r="AK26" s="71">
        <v>2</v>
      </c>
    </row>
    <row r="27" spans="1:37" ht="15.5">
      <c r="A27" s="49" t="s">
        <v>171</v>
      </c>
      <c r="B27" s="49">
        <v>956</v>
      </c>
      <c r="C27" s="49" t="s">
        <v>399</v>
      </c>
      <c r="D27" s="134">
        <f t="shared" si="0"/>
        <v>15.933333333333334</v>
      </c>
      <c r="E27" s="71">
        <v>1</v>
      </c>
      <c r="F27" s="71">
        <v>2</v>
      </c>
      <c r="G27" s="71">
        <v>1</v>
      </c>
      <c r="H27" s="71">
        <v>2</v>
      </c>
      <c r="I27" s="71"/>
      <c r="J27" s="71">
        <v>4</v>
      </c>
      <c r="K27" s="71"/>
      <c r="L27" s="71">
        <v>6</v>
      </c>
      <c r="M27" s="71"/>
      <c r="N27" s="71"/>
      <c r="O27" s="71">
        <v>9</v>
      </c>
      <c r="P27" s="71">
        <v>10</v>
      </c>
      <c r="Q27" s="71"/>
      <c r="R27" s="71"/>
      <c r="S27" s="71"/>
      <c r="T27" s="71"/>
      <c r="U27" s="49">
        <f t="shared" si="1"/>
        <v>6</v>
      </c>
      <c r="V27" s="71">
        <v>4</v>
      </c>
      <c r="W27" s="71">
        <v>4</v>
      </c>
      <c r="X27" s="71">
        <v>4</v>
      </c>
      <c r="Y27" s="71">
        <v>4</v>
      </c>
      <c r="Z27" s="71">
        <v>5</v>
      </c>
      <c r="AA27" s="71">
        <v>2</v>
      </c>
      <c r="AB27" s="71">
        <v>6</v>
      </c>
      <c r="AC27" s="71">
        <v>4</v>
      </c>
      <c r="AD27" s="71">
        <v>3</v>
      </c>
      <c r="AE27" s="71">
        <v>2</v>
      </c>
      <c r="AF27" s="71">
        <v>5</v>
      </c>
      <c r="AG27" s="71">
        <v>2</v>
      </c>
      <c r="AH27" s="71">
        <v>4</v>
      </c>
      <c r="AI27" s="71">
        <v>4</v>
      </c>
      <c r="AJ27" s="71">
        <v>5</v>
      </c>
      <c r="AK27" s="71">
        <v>5</v>
      </c>
    </row>
    <row r="28" spans="1:37" ht="15.5">
      <c r="A28" s="49" t="s">
        <v>174</v>
      </c>
      <c r="B28" s="49">
        <v>952</v>
      </c>
      <c r="C28" s="49" t="s">
        <v>399</v>
      </c>
      <c r="D28" s="134">
        <f t="shared" si="0"/>
        <v>15.866666666666667</v>
      </c>
      <c r="E28" s="71">
        <v>2</v>
      </c>
      <c r="F28" s="71">
        <v>2</v>
      </c>
      <c r="G28" s="71"/>
      <c r="H28" s="71">
        <v>2</v>
      </c>
      <c r="I28" s="71"/>
      <c r="J28" s="71">
        <v>4</v>
      </c>
      <c r="K28" s="71">
        <v>5</v>
      </c>
      <c r="L28" s="71">
        <v>6</v>
      </c>
      <c r="M28" s="71">
        <v>7</v>
      </c>
      <c r="N28" s="71"/>
      <c r="O28" s="71"/>
      <c r="P28" s="71"/>
      <c r="Q28" s="71"/>
      <c r="R28" s="71"/>
      <c r="S28" s="71"/>
      <c r="T28" s="71"/>
      <c r="U28" s="49">
        <f t="shared" si="1"/>
        <v>5</v>
      </c>
      <c r="V28" s="71">
        <v>4</v>
      </c>
      <c r="W28" s="71">
        <v>4</v>
      </c>
      <c r="X28" s="71">
        <v>4</v>
      </c>
      <c r="Y28" s="71">
        <v>3</v>
      </c>
      <c r="Z28" s="71">
        <v>5</v>
      </c>
      <c r="AA28" s="71">
        <v>4</v>
      </c>
      <c r="AB28" s="71">
        <v>7</v>
      </c>
      <c r="AC28" s="71">
        <v>4</v>
      </c>
      <c r="AD28" s="71">
        <v>4</v>
      </c>
      <c r="AE28" s="71">
        <v>4</v>
      </c>
      <c r="AF28" s="71">
        <v>4</v>
      </c>
      <c r="AG28" s="71">
        <v>4</v>
      </c>
      <c r="AH28" s="71">
        <v>4</v>
      </c>
      <c r="AI28" s="71">
        <v>4</v>
      </c>
      <c r="AJ28" s="71">
        <v>4</v>
      </c>
      <c r="AK28" s="71">
        <v>4</v>
      </c>
    </row>
    <row r="29" spans="1:37" ht="15.5">
      <c r="A29" s="49" t="s">
        <v>141</v>
      </c>
      <c r="B29" s="49">
        <v>940</v>
      </c>
      <c r="C29" s="49" t="s">
        <v>399</v>
      </c>
      <c r="D29" s="134">
        <f t="shared" si="0"/>
        <v>15.666666666666666</v>
      </c>
      <c r="E29" s="71">
        <v>2</v>
      </c>
      <c r="F29" s="71">
        <v>2</v>
      </c>
      <c r="G29" s="71"/>
      <c r="H29" s="71">
        <v>2</v>
      </c>
      <c r="I29" s="71"/>
      <c r="J29" s="71">
        <v>4</v>
      </c>
      <c r="K29" s="71"/>
      <c r="L29" s="71">
        <v>6</v>
      </c>
      <c r="M29" s="71">
        <v>7</v>
      </c>
      <c r="N29" s="71"/>
      <c r="O29" s="71">
        <v>9</v>
      </c>
      <c r="P29" s="71"/>
      <c r="Q29" s="71"/>
      <c r="R29" s="71"/>
      <c r="S29" s="71"/>
      <c r="T29" s="71"/>
      <c r="U29" s="49">
        <f t="shared" si="1"/>
        <v>5</v>
      </c>
      <c r="V29" s="71">
        <v>4</v>
      </c>
      <c r="W29" s="71">
        <v>4</v>
      </c>
      <c r="X29" s="71">
        <v>4</v>
      </c>
      <c r="Y29" s="71">
        <v>3</v>
      </c>
      <c r="Z29" s="71">
        <v>3</v>
      </c>
      <c r="AA29" s="71">
        <v>5</v>
      </c>
      <c r="AB29" s="71">
        <v>7</v>
      </c>
      <c r="AC29" s="71">
        <v>3</v>
      </c>
      <c r="AD29" s="71">
        <v>5</v>
      </c>
      <c r="AE29" s="71">
        <v>5</v>
      </c>
      <c r="AF29" s="71">
        <v>4</v>
      </c>
      <c r="AG29" s="71">
        <v>5</v>
      </c>
      <c r="AH29" s="71">
        <v>4</v>
      </c>
      <c r="AI29" s="71">
        <v>3</v>
      </c>
      <c r="AJ29" s="71">
        <v>3</v>
      </c>
      <c r="AK29" s="71">
        <v>3</v>
      </c>
    </row>
    <row r="30" spans="1:37" ht="15.5">
      <c r="A30" s="49" t="s">
        <v>89</v>
      </c>
      <c r="B30" s="49">
        <v>934</v>
      </c>
      <c r="C30" s="49" t="s">
        <v>399</v>
      </c>
      <c r="D30" s="134">
        <f t="shared" si="0"/>
        <v>15.566666666666666</v>
      </c>
      <c r="E30" s="71">
        <v>1</v>
      </c>
      <c r="F30" s="71">
        <v>2</v>
      </c>
      <c r="G30" s="71"/>
      <c r="H30" s="71"/>
      <c r="I30" s="71"/>
      <c r="J30" s="71"/>
      <c r="K30" s="71"/>
      <c r="L30" s="71"/>
      <c r="M30" s="71"/>
      <c r="N30" s="71"/>
      <c r="O30" s="71"/>
      <c r="P30" s="71"/>
      <c r="Q30" s="71">
        <v>11</v>
      </c>
      <c r="R30" s="71"/>
      <c r="S30" s="71"/>
      <c r="T30" s="71"/>
      <c r="U30" s="49">
        <f t="shared" si="1"/>
        <v>1</v>
      </c>
      <c r="V30" s="71">
        <v>4</v>
      </c>
      <c r="W30" s="71">
        <v>3</v>
      </c>
      <c r="X30" s="71">
        <v>3</v>
      </c>
      <c r="Y30" s="71">
        <v>3</v>
      </c>
      <c r="Z30" s="71">
        <v>3</v>
      </c>
      <c r="AA30" s="71">
        <v>3</v>
      </c>
      <c r="AB30" s="71">
        <v>4</v>
      </c>
      <c r="AC30" s="71">
        <v>3</v>
      </c>
      <c r="AD30" s="71">
        <v>3</v>
      </c>
      <c r="AE30" s="71">
        <v>3</v>
      </c>
      <c r="AF30" s="71">
        <v>3</v>
      </c>
      <c r="AG30" s="71">
        <v>3</v>
      </c>
      <c r="AH30" s="71">
        <v>3</v>
      </c>
      <c r="AI30" s="71">
        <v>3</v>
      </c>
      <c r="AJ30" s="71">
        <v>3</v>
      </c>
      <c r="AK30" s="71">
        <v>3</v>
      </c>
    </row>
    <row r="31" spans="1:37" ht="15.5">
      <c r="A31" s="49" t="s">
        <v>104</v>
      </c>
      <c r="B31" s="49">
        <v>920</v>
      </c>
      <c r="C31" s="49" t="s">
        <v>399</v>
      </c>
      <c r="D31" s="134">
        <f t="shared" si="0"/>
        <v>15.333333333333334</v>
      </c>
      <c r="E31" s="71">
        <v>2</v>
      </c>
      <c r="F31" s="71">
        <v>1</v>
      </c>
      <c r="G31" s="71"/>
      <c r="H31" s="71">
        <v>2</v>
      </c>
      <c r="I31" s="71">
        <v>3</v>
      </c>
      <c r="J31" s="71"/>
      <c r="K31" s="71">
        <v>5</v>
      </c>
      <c r="L31" s="71">
        <v>6</v>
      </c>
      <c r="M31" s="71">
        <v>7</v>
      </c>
      <c r="N31" s="71">
        <v>8</v>
      </c>
      <c r="O31" s="71"/>
      <c r="P31" s="71"/>
      <c r="Q31" s="71">
        <v>11</v>
      </c>
      <c r="R31" s="71"/>
      <c r="S31" s="71"/>
      <c r="T31" s="71"/>
      <c r="U31" s="49">
        <f t="shared" si="1"/>
        <v>7</v>
      </c>
      <c r="V31" s="71">
        <v>4</v>
      </c>
      <c r="W31" s="71">
        <v>4</v>
      </c>
      <c r="X31" s="71">
        <v>4</v>
      </c>
      <c r="Y31" s="71">
        <v>5</v>
      </c>
      <c r="Z31" s="71">
        <v>4</v>
      </c>
      <c r="AA31" s="71">
        <v>4</v>
      </c>
      <c r="AB31" s="71">
        <v>3</v>
      </c>
      <c r="AC31" s="71">
        <v>3</v>
      </c>
      <c r="AD31" s="71">
        <v>4</v>
      </c>
      <c r="AE31" s="71">
        <v>4</v>
      </c>
      <c r="AF31" s="71">
        <v>5</v>
      </c>
      <c r="AG31" s="71">
        <v>4</v>
      </c>
      <c r="AH31" s="71">
        <v>4</v>
      </c>
      <c r="AI31" s="71">
        <v>4</v>
      </c>
      <c r="AJ31" s="71">
        <v>4</v>
      </c>
      <c r="AK31" s="71">
        <v>4</v>
      </c>
    </row>
    <row r="32" spans="1:37" ht="15.5">
      <c r="A32" s="49" t="s">
        <v>168</v>
      </c>
      <c r="B32" s="49">
        <v>883</v>
      </c>
      <c r="C32" s="49" t="s">
        <v>399</v>
      </c>
      <c r="D32" s="134">
        <f t="shared" si="0"/>
        <v>14.716666666666667</v>
      </c>
      <c r="E32" s="71">
        <v>1</v>
      </c>
      <c r="F32" s="71">
        <v>1</v>
      </c>
      <c r="G32" s="71"/>
      <c r="H32" s="71">
        <v>2</v>
      </c>
      <c r="I32" s="71"/>
      <c r="J32" s="71"/>
      <c r="K32" s="71"/>
      <c r="L32" s="71"/>
      <c r="M32" s="71"/>
      <c r="N32" s="71">
        <v>8</v>
      </c>
      <c r="O32" s="71"/>
      <c r="P32" s="71"/>
      <c r="Q32" s="71"/>
      <c r="R32" s="71"/>
      <c r="S32" s="71"/>
      <c r="T32" s="71"/>
      <c r="U32" s="49">
        <f t="shared" si="1"/>
        <v>2</v>
      </c>
      <c r="V32" s="71">
        <v>2</v>
      </c>
      <c r="W32" s="71">
        <v>3</v>
      </c>
      <c r="X32" s="71">
        <v>3</v>
      </c>
      <c r="Y32" s="71">
        <v>3</v>
      </c>
      <c r="Z32" s="71">
        <v>4</v>
      </c>
      <c r="AA32" s="71">
        <v>5</v>
      </c>
      <c r="AB32" s="71">
        <v>3</v>
      </c>
      <c r="AC32" s="71">
        <v>3</v>
      </c>
      <c r="AD32" s="71">
        <v>3</v>
      </c>
      <c r="AE32" s="71">
        <v>3</v>
      </c>
      <c r="AF32" s="71">
        <v>3</v>
      </c>
      <c r="AG32" s="71">
        <v>3</v>
      </c>
      <c r="AH32" s="71">
        <v>4</v>
      </c>
      <c r="AI32" s="71">
        <v>4</v>
      </c>
      <c r="AJ32" s="71">
        <v>3</v>
      </c>
      <c r="AK32" s="71">
        <v>2</v>
      </c>
    </row>
    <row r="33" spans="1:37" ht="15.5">
      <c r="A33" s="49" t="s">
        <v>131</v>
      </c>
      <c r="B33" s="49">
        <v>878</v>
      </c>
      <c r="C33" s="49" t="s">
        <v>399</v>
      </c>
      <c r="D33" s="134">
        <f t="shared" si="0"/>
        <v>14.633333333333333</v>
      </c>
      <c r="E33" s="71">
        <v>2</v>
      </c>
      <c r="F33" s="71">
        <v>6</v>
      </c>
      <c r="G33" s="71"/>
      <c r="H33" s="71">
        <v>2</v>
      </c>
      <c r="I33" s="71"/>
      <c r="J33" s="71"/>
      <c r="K33" s="71"/>
      <c r="L33" s="71">
        <v>6</v>
      </c>
      <c r="M33" s="71"/>
      <c r="N33" s="71"/>
      <c r="O33" s="71"/>
      <c r="P33" s="71"/>
      <c r="Q33" s="71"/>
      <c r="R33" s="71"/>
      <c r="S33" s="71"/>
      <c r="T33" s="71"/>
      <c r="U33" s="49">
        <f t="shared" si="1"/>
        <v>2</v>
      </c>
      <c r="V33" s="71">
        <v>6</v>
      </c>
      <c r="W33" s="71">
        <v>3</v>
      </c>
      <c r="X33" s="71">
        <v>3</v>
      </c>
      <c r="Y33" s="71">
        <v>3</v>
      </c>
      <c r="Z33" s="71">
        <v>3</v>
      </c>
      <c r="AA33" s="71">
        <v>4</v>
      </c>
      <c r="AB33" s="71">
        <v>6</v>
      </c>
      <c r="AC33" s="71">
        <v>2</v>
      </c>
      <c r="AD33" s="71">
        <v>3</v>
      </c>
      <c r="AE33" s="71">
        <v>4</v>
      </c>
      <c r="AF33" s="71">
        <v>3</v>
      </c>
      <c r="AG33" s="71">
        <v>4</v>
      </c>
      <c r="AH33" s="71">
        <v>3</v>
      </c>
      <c r="AI33" s="71">
        <v>1</v>
      </c>
      <c r="AJ33" s="71">
        <v>1</v>
      </c>
      <c r="AK33" s="71">
        <v>1</v>
      </c>
    </row>
    <row r="34" spans="1:37" ht="15.5">
      <c r="A34" s="49" t="s">
        <v>105</v>
      </c>
      <c r="B34" s="49">
        <v>876</v>
      </c>
      <c r="C34" s="49" t="s">
        <v>399</v>
      </c>
      <c r="D34" s="134">
        <f t="shared" si="0"/>
        <v>14.6</v>
      </c>
      <c r="E34" s="71">
        <v>2</v>
      </c>
      <c r="F34" s="71">
        <v>6</v>
      </c>
      <c r="G34" s="71">
        <v>1</v>
      </c>
      <c r="H34" s="71"/>
      <c r="I34" s="71"/>
      <c r="J34" s="71">
        <v>4</v>
      </c>
      <c r="K34" s="71"/>
      <c r="L34" s="71"/>
      <c r="M34" s="71"/>
      <c r="N34" s="71"/>
      <c r="O34" s="71"/>
      <c r="P34" s="71"/>
      <c r="Q34" s="71"/>
      <c r="R34" s="71"/>
      <c r="S34" s="71"/>
      <c r="T34" s="71"/>
      <c r="U34" s="49">
        <f t="shared" si="1"/>
        <v>2</v>
      </c>
      <c r="V34" s="71">
        <v>5</v>
      </c>
      <c r="W34" s="71">
        <v>3</v>
      </c>
      <c r="X34" s="71">
        <v>3</v>
      </c>
      <c r="Y34" s="71">
        <v>3</v>
      </c>
      <c r="Z34" s="71">
        <v>3</v>
      </c>
      <c r="AA34" s="71">
        <v>4</v>
      </c>
      <c r="AB34" s="71">
        <v>1</v>
      </c>
      <c r="AC34" s="71">
        <v>3</v>
      </c>
      <c r="AD34" s="71">
        <v>3</v>
      </c>
      <c r="AE34" s="71">
        <v>3</v>
      </c>
      <c r="AF34" s="71">
        <v>3</v>
      </c>
      <c r="AG34" s="71">
        <v>3</v>
      </c>
      <c r="AH34" s="71">
        <v>4</v>
      </c>
      <c r="AI34" s="71">
        <v>2</v>
      </c>
      <c r="AJ34" s="71">
        <v>2</v>
      </c>
      <c r="AK34" s="71">
        <v>2</v>
      </c>
    </row>
    <row r="35" spans="1:37" ht="15.5">
      <c r="A35" s="49" t="s">
        <v>158</v>
      </c>
      <c r="B35" s="49">
        <v>864</v>
      </c>
      <c r="C35" s="49" t="s">
        <v>399</v>
      </c>
      <c r="D35" s="134">
        <f t="shared" si="0"/>
        <v>14.4</v>
      </c>
      <c r="E35" s="71">
        <v>1</v>
      </c>
      <c r="F35" s="71">
        <v>5</v>
      </c>
      <c r="G35" s="71">
        <v>1</v>
      </c>
      <c r="H35" s="71"/>
      <c r="I35" s="71"/>
      <c r="J35" s="71"/>
      <c r="K35" s="71"/>
      <c r="L35" s="71"/>
      <c r="M35" s="71"/>
      <c r="N35" s="71"/>
      <c r="O35" s="71"/>
      <c r="P35" s="71"/>
      <c r="Q35" s="71"/>
      <c r="R35" s="71"/>
      <c r="S35" s="71"/>
      <c r="T35" s="71"/>
      <c r="U35" s="49">
        <f t="shared" si="1"/>
        <v>1</v>
      </c>
      <c r="V35" s="71">
        <v>5</v>
      </c>
      <c r="W35" s="71">
        <v>4</v>
      </c>
      <c r="X35" s="71">
        <v>4</v>
      </c>
      <c r="Y35" s="71">
        <v>4</v>
      </c>
      <c r="Z35" s="71">
        <v>3</v>
      </c>
      <c r="AA35" s="71">
        <v>4</v>
      </c>
      <c r="AB35" s="71">
        <v>4</v>
      </c>
      <c r="AC35" s="71">
        <v>4</v>
      </c>
      <c r="AD35" s="71">
        <v>5</v>
      </c>
      <c r="AE35" s="71">
        <v>4</v>
      </c>
      <c r="AF35" s="71">
        <v>4</v>
      </c>
      <c r="AG35" s="71">
        <v>4</v>
      </c>
      <c r="AH35" s="71">
        <v>4</v>
      </c>
      <c r="AI35" s="71">
        <v>4</v>
      </c>
      <c r="AJ35" s="71">
        <v>4</v>
      </c>
      <c r="AK35" s="71">
        <v>4</v>
      </c>
    </row>
    <row r="36" spans="1:37" ht="15.5">
      <c r="A36" s="49" t="s">
        <v>125</v>
      </c>
      <c r="B36" s="49">
        <v>824</v>
      </c>
      <c r="C36" s="49" t="s">
        <v>399</v>
      </c>
      <c r="D36" s="134">
        <f t="shared" si="0"/>
        <v>13.733333333333333</v>
      </c>
      <c r="E36" s="71">
        <v>2</v>
      </c>
      <c r="F36" s="71">
        <v>2</v>
      </c>
      <c r="G36" s="71"/>
      <c r="H36" s="71">
        <v>2</v>
      </c>
      <c r="I36" s="71">
        <v>3</v>
      </c>
      <c r="J36" s="71"/>
      <c r="K36" s="71">
        <v>5</v>
      </c>
      <c r="L36" s="71">
        <v>6</v>
      </c>
      <c r="M36" s="71">
        <v>7</v>
      </c>
      <c r="N36" s="71">
        <v>8</v>
      </c>
      <c r="O36" s="71"/>
      <c r="P36" s="71"/>
      <c r="Q36" s="71"/>
      <c r="R36" s="71">
        <v>12</v>
      </c>
      <c r="S36" s="71"/>
      <c r="T36" s="71"/>
      <c r="U36" s="49">
        <f t="shared" si="1"/>
        <v>7</v>
      </c>
      <c r="V36" s="71">
        <v>3</v>
      </c>
      <c r="W36" s="71">
        <v>3</v>
      </c>
      <c r="X36" s="71">
        <v>3</v>
      </c>
      <c r="Y36" s="71">
        <v>3</v>
      </c>
      <c r="Z36" s="71">
        <v>4</v>
      </c>
      <c r="AA36" s="71">
        <v>5</v>
      </c>
      <c r="AB36" s="71">
        <v>7</v>
      </c>
      <c r="AC36" s="71">
        <v>4</v>
      </c>
      <c r="AD36" s="71">
        <v>4</v>
      </c>
      <c r="AE36" s="71">
        <v>3</v>
      </c>
      <c r="AF36" s="71">
        <v>4</v>
      </c>
      <c r="AG36" s="71">
        <v>4</v>
      </c>
      <c r="AH36" s="71">
        <v>4</v>
      </c>
      <c r="AI36" s="71">
        <v>4</v>
      </c>
      <c r="AJ36" s="71">
        <v>4</v>
      </c>
      <c r="AK36" s="71">
        <v>4</v>
      </c>
    </row>
    <row r="37" spans="1:37" ht="15.5">
      <c r="A37" s="49" t="s">
        <v>179</v>
      </c>
      <c r="B37" s="49">
        <v>821</v>
      </c>
      <c r="C37" s="49" t="s">
        <v>399</v>
      </c>
      <c r="D37" s="134">
        <f t="shared" ref="D37:D68" si="2">B37/60</f>
        <v>13.683333333333334</v>
      </c>
      <c r="E37" s="71">
        <v>2</v>
      </c>
      <c r="F37" s="71">
        <v>4</v>
      </c>
      <c r="G37" s="71"/>
      <c r="H37" s="71">
        <v>2</v>
      </c>
      <c r="I37" s="71"/>
      <c r="J37" s="71"/>
      <c r="K37" s="71"/>
      <c r="L37" s="71"/>
      <c r="M37" s="71">
        <v>7</v>
      </c>
      <c r="N37" s="71">
        <v>8</v>
      </c>
      <c r="O37" s="71"/>
      <c r="P37" s="71"/>
      <c r="Q37" s="71">
        <v>11</v>
      </c>
      <c r="R37" s="71">
        <v>12</v>
      </c>
      <c r="S37" s="71"/>
      <c r="T37" s="71"/>
      <c r="U37" s="49">
        <f t="shared" ref="U37:U68" si="3">COUNT(G37:S37)</f>
        <v>5</v>
      </c>
      <c r="V37" s="71">
        <v>4</v>
      </c>
      <c r="W37" s="71">
        <v>5</v>
      </c>
      <c r="X37" s="71">
        <v>5</v>
      </c>
      <c r="Y37" s="71">
        <v>5</v>
      </c>
      <c r="Z37" s="71">
        <v>5</v>
      </c>
      <c r="AA37" s="71">
        <v>5</v>
      </c>
      <c r="AB37" s="71">
        <v>1</v>
      </c>
      <c r="AC37" s="71">
        <v>5</v>
      </c>
      <c r="AD37" s="71">
        <v>5</v>
      </c>
      <c r="AE37" s="71">
        <v>5</v>
      </c>
      <c r="AF37" s="71">
        <v>5</v>
      </c>
      <c r="AG37" s="71">
        <v>5</v>
      </c>
      <c r="AH37" s="71">
        <v>5</v>
      </c>
      <c r="AI37" s="71">
        <v>3</v>
      </c>
      <c r="AJ37" s="71">
        <v>3</v>
      </c>
      <c r="AK37" s="71">
        <v>3</v>
      </c>
    </row>
    <row r="38" spans="1:37" ht="15.5">
      <c r="A38" s="49" t="s">
        <v>161</v>
      </c>
      <c r="B38" s="49">
        <v>821</v>
      </c>
      <c r="C38" s="49" t="s">
        <v>399</v>
      </c>
      <c r="D38" s="134">
        <f t="shared" si="2"/>
        <v>13.683333333333334</v>
      </c>
      <c r="E38" s="71">
        <v>2</v>
      </c>
      <c r="F38" s="71">
        <v>2</v>
      </c>
      <c r="G38" s="71"/>
      <c r="H38" s="71">
        <v>2</v>
      </c>
      <c r="I38" s="71">
        <v>3</v>
      </c>
      <c r="J38" s="71">
        <v>4</v>
      </c>
      <c r="K38" s="71"/>
      <c r="L38" s="71">
        <v>6</v>
      </c>
      <c r="M38" s="71"/>
      <c r="N38" s="71">
        <v>8</v>
      </c>
      <c r="O38" s="71"/>
      <c r="P38" s="71">
        <v>10</v>
      </c>
      <c r="Q38" s="71"/>
      <c r="R38" s="71"/>
      <c r="S38" s="71"/>
      <c r="T38" s="71"/>
      <c r="U38" s="49">
        <f t="shared" si="3"/>
        <v>6</v>
      </c>
      <c r="V38" s="71">
        <v>4</v>
      </c>
      <c r="W38" s="71">
        <v>4</v>
      </c>
      <c r="X38" s="71">
        <v>4</v>
      </c>
      <c r="Y38" s="71">
        <v>4</v>
      </c>
      <c r="Z38" s="71">
        <v>4</v>
      </c>
      <c r="AA38" s="71">
        <v>4</v>
      </c>
      <c r="AB38" s="71">
        <v>5</v>
      </c>
      <c r="AC38" s="71">
        <v>3</v>
      </c>
      <c r="AD38" s="71">
        <v>4</v>
      </c>
      <c r="AE38" s="71">
        <v>3</v>
      </c>
      <c r="AF38" s="71">
        <v>3</v>
      </c>
      <c r="AG38" s="71">
        <v>4</v>
      </c>
      <c r="AH38" s="71">
        <v>4</v>
      </c>
      <c r="AI38" s="71">
        <v>3</v>
      </c>
      <c r="AJ38" s="71">
        <v>3</v>
      </c>
      <c r="AK38" s="71">
        <v>3</v>
      </c>
    </row>
    <row r="39" spans="1:37" ht="15.5">
      <c r="A39" s="49" t="s">
        <v>129</v>
      </c>
      <c r="B39" s="49">
        <v>800</v>
      </c>
      <c r="C39" s="49" t="s">
        <v>399</v>
      </c>
      <c r="D39" s="134">
        <f t="shared" si="2"/>
        <v>13.333333333333334</v>
      </c>
      <c r="E39" s="71">
        <v>2</v>
      </c>
      <c r="F39" s="71">
        <v>2</v>
      </c>
      <c r="G39" s="71"/>
      <c r="H39" s="71">
        <v>2</v>
      </c>
      <c r="I39" s="71"/>
      <c r="J39" s="71">
        <v>4</v>
      </c>
      <c r="K39" s="71"/>
      <c r="L39" s="71">
        <v>6</v>
      </c>
      <c r="M39" s="71">
        <v>7</v>
      </c>
      <c r="N39" s="71">
        <v>8</v>
      </c>
      <c r="O39" s="71">
        <v>9</v>
      </c>
      <c r="P39" s="71"/>
      <c r="Q39" s="71"/>
      <c r="R39" s="71"/>
      <c r="S39" s="71"/>
      <c r="T39" s="71"/>
      <c r="U39" s="49">
        <f t="shared" si="3"/>
        <v>6</v>
      </c>
      <c r="V39" s="71">
        <v>6</v>
      </c>
      <c r="W39" s="71">
        <v>4</v>
      </c>
      <c r="X39" s="71">
        <v>3</v>
      </c>
      <c r="Y39" s="71">
        <v>4</v>
      </c>
      <c r="Z39" s="71">
        <v>5</v>
      </c>
      <c r="AA39" s="71">
        <v>4</v>
      </c>
      <c r="AB39" s="71">
        <v>2</v>
      </c>
      <c r="AC39" s="71">
        <v>2</v>
      </c>
      <c r="AD39" s="71">
        <v>3</v>
      </c>
      <c r="AE39" s="71">
        <v>2</v>
      </c>
      <c r="AF39" s="71">
        <v>3</v>
      </c>
      <c r="AG39" s="71">
        <v>3</v>
      </c>
      <c r="AH39" s="71">
        <v>3</v>
      </c>
      <c r="AI39" s="71">
        <v>3</v>
      </c>
      <c r="AJ39" s="71">
        <v>4</v>
      </c>
      <c r="AK39" s="71">
        <v>3</v>
      </c>
    </row>
    <row r="40" spans="1:37" ht="15.5">
      <c r="A40" s="49" t="s">
        <v>100</v>
      </c>
      <c r="B40" s="49">
        <v>786</v>
      </c>
      <c r="C40" s="49" t="s">
        <v>399</v>
      </c>
      <c r="D40" s="134">
        <f t="shared" si="2"/>
        <v>13.1</v>
      </c>
      <c r="E40" s="71">
        <v>2</v>
      </c>
      <c r="F40" s="71">
        <v>2</v>
      </c>
      <c r="G40" s="71"/>
      <c r="H40" s="71"/>
      <c r="I40" s="71"/>
      <c r="J40" s="71"/>
      <c r="K40" s="71"/>
      <c r="L40" s="71"/>
      <c r="M40" s="71"/>
      <c r="N40" s="71"/>
      <c r="O40" s="71"/>
      <c r="P40" s="71"/>
      <c r="Q40" s="71"/>
      <c r="R40" s="71"/>
      <c r="S40" s="71"/>
      <c r="T40" s="71">
        <v>14</v>
      </c>
      <c r="U40" s="49">
        <f t="shared" si="3"/>
        <v>0</v>
      </c>
      <c r="V40" s="71">
        <v>4</v>
      </c>
      <c r="W40" s="71">
        <v>3</v>
      </c>
      <c r="X40" s="71">
        <v>2</v>
      </c>
      <c r="Y40" s="71">
        <v>2</v>
      </c>
      <c r="Z40" s="71">
        <v>2</v>
      </c>
      <c r="AA40" s="71">
        <v>4</v>
      </c>
      <c r="AB40" s="71">
        <v>3</v>
      </c>
      <c r="AC40" s="71">
        <v>2</v>
      </c>
      <c r="AD40" s="71">
        <v>4</v>
      </c>
      <c r="AE40" s="71">
        <v>3</v>
      </c>
      <c r="AF40" s="71">
        <v>4</v>
      </c>
      <c r="AG40" s="71">
        <v>3</v>
      </c>
      <c r="AH40" s="71">
        <v>4</v>
      </c>
      <c r="AI40" s="71">
        <v>2</v>
      </c>
      <c r="AJ40" s="71">
        <v>1</v>
      </c>
      <c r="AK40" s="71">
        <v>2</v>
      </c>
    </row>
    <row r="41" spans="1:37" ht="15.5">
      <c r="A41" s="49" t="s">
        <v>177</v>
      </c>
      <c r="B41" s="49">
        <v>785</v>
      </c>
      <c r="C41" s="49" t="s">
        <v>399</v>
      </c>
      <c r="D41" s="134">
        <f t="shared" si="2"/>
        <v>13.083333333333334</v>
      </c>
      <c r="E41" s="71">
        <v>1</v>
      </c>
      <c r="F41" s="71">
        <v>4</v>
      </c>
      <c r="G41" s="71"/>
      <c r="H41" s="71">
        <v>2</v>
      </c>
      <c r="I41" s="71">
        <v>3</v>
      </c>
      <c r="J41" s="71"/>
      <c r="K41" s="71">
        <v>5</v>
      </c>
      <c r="L41" s="71">
        <v>6</v>
      </c>
      <c r="M41" s="71">
        <v>7</v>
      </c>
      <c r="N41" s="71">
        <v>8</v>
      </c>
      <c r="O41" s="71"/>
      <c r="P41" s="71">
        <v>10</v>
      </c>
      <c r="Q41" s="71"/>
      <c r="R41" s="71"/>
      <c r="S41" s="71">
        <v>13</v>
      </c>
      <c r="T41" s="71"/>
      <c r="U41" s="49">
        <f t="shared" si="3"/>
        <v>8</v>
      </c>
      <c r="V41" s="71">
        <v>6</v>
      </c>
      <c r="W41" s="71">
        <v>3</v>
      </c>
      <c r="X41" s="71">
        <v>3</v>
      </c>
      <c r="Y41" s="71">
        <v>3</v>
      </c>
      <c r="Z41" s="71">
        <v>5</v>
      </c>
      <c r="AA41" s="71">
        <v>5</v>
      </c>
      <c r="AB41" s="71">
        <v>1</v>
      </c>
      <c r="AC41" s="71">
        <v>3</v>
      </c>
      <c r="AD41" s="71">
        <v>4</v>
      </c>
      <c r="AE41" s="71">
        <v>4</v>
      </c>
      <c r="AF41" s="71">
        <v>3</v>
      </c>
      <c r="AG41" s="71">
        <v>4</v>
      </c>
      <c r="AH41" s="71">
        <v>4</v>
      </c>
      <c r="AI41" s="71">
        <v>3</v>
      </c>
      <c r="AJ41" s="71">
        <v>2</v>
      </c>
      <c r="AK41" s="71">
        <v>2</v>
      </c>
    </row>
    <row r="42" spans="1:37" ht="15.5">
      <c r="A42" s="49" t="s">
        <v>132</v>
      </c>
      <c r="B42" s="49">
        <v>777</v>
      </c>
      <c r="C42" s="49" t="s">
        <v>399</v>
      </c>
      <c r="D42" s="134">
        <f t="shared" si="2"/>
        <v>12.95</v>
      </c>
      <c r="E42" s="71">
        <v>2</v>
      </c>
      <c r="F42" s="71">
        <v>5</v>
      </c>
      <c r="G42" s="71"/>
      <c r="H42" s="71">
        <v>2</v>
      </c>
      <c r="I42" s="71">
        <v>3</v>
      </c>
      <c r="J42" s="71">
        <v>4</v>
      </c>
      <c r="K42" s="71"/>
      <c r="L42" s="71">
        <v>6</v>
      </c>
      <c r="M42" s="71"/>
      <c r="N42" s="71"/>
      <c r="O42" s="71"/>
      <c r="P42" s="71"/>
      <c r="Q42" s="71">
        <v>11</v>
      </c>
      <c r="R42" s="71">
        <v>12</v>
      </c>
      <c r="S42" s="71"/>
      <c r="T42" s="71"/>
      <c r="U42" s="49">
        <f t="shared" si="3"/>
        <v>6</v>
      </c>
      <c r="V42" s="71">
        <v>6</v>
      </c>
      <c r="W42" s="71">
        <v>1</v>
      </c>
      <c r="X42" s="71">
        <v>1</v>
      </c>
      <c r="Y42" s="71">
        <v>1</v>
      </c>
      <c r="Z42" s="71">
        <v>4</v>
      </c>
      <c r="AA42" s="71">
        <v>5</v>
      </c>
      <c r="AB42" s="71">
        <v>2</v>
      </c>
      <c r="AC42" s="71">
        <v>3</v>
      </c>
      <c r="AD42" s="71">
        <v>4</v>
      </c>
      <c r="AE42" s="71">
        <v>4</v>
      </c>
      <c r="AF42" s="71">
        <v>4</v>
      </c>
      <c r="AG42" s="71">
        <v>3</v>
      </c>
      <c r="AH42" s="71">
        <v>4</v>
      </c>
      <c r="AI42" s="71">
        <v>1</v>
      </c>
      <c r="AJ42" s="71">
        <v>1</v>
      </c>
      <c r="AK42" s="71">
        <v>1</v>
      </c>
    </row>
    <row r="43" spans="1:37" ht="15.5">
      <c r="A43" s="49" t="s">
        <v>116</v>
      </c>
      <c r="B43" s="49">
        <v>771</v>
      </c>
      <c r="C43" s="49" t="s">
        <v>399</v>
      </c>
      <c r="D43" s="134">
        <f t="shared" si="2"/>
        <v>12.85</v>
      </c>
      <c r="E43" s="71">
        <v>2</v>
      </c>
      <c r="F43" s="71">
        <v>3</v>
      </c>
      <c r="G43" s="71">
        <v>1</v>
      </c>
      <c r="H43" s="71"/>
      <c r="I43" s="71"/>
      <c r="J43" s="71">
        <v>4</v>
      </c>
      <c r="K43" s="71">
        <v>5</v>
      </c>
      <c r="L43" s="71"/>
      <c r="M43" s="71"/>
      <c r="N43" s="71"/>
      <c r="O43" s="71"/>
      <c r="P43" s="71"/>
      <c r="Q43" s="71"/>
      <c r="R43" s="71">
        <v>12</v>
      </c>
      <c r="S43" s="71"/>
      <c r="T43" s="71"/>
      <c r="U43" s="49">
        <f t="shared" si="3"/>
        <v>4</v>
      </c>
      <c r="V43" s="71">
        <v>4</v>
      </c>
      <c r="W43" s="71">
        <v>5</v>
      </c>
      <c r="X43" s="71">
        <v>3</v>
      </c>
      <c r="Y43" s="71">
        <v>4</v>
      </c>
      <c r="Z43" s="71">
        <v>4</v>
      </c>
      <c r="AA43" s="71">
        <v>4</v>
      </c>
      <c r="AB43" s="71">
        <v>6</v>
      </c>
      <c r="AC43" s="71">
        <v>5</v>
      </c>
      <c r="AD43" s="71">
        <v>2</v>
      </c>
      <c r="AE43" s="71">
        <v>2</v>
      </c>
      <c r="AF43" s="71">
        <v>3</v>
      </c>
      <c r="AG43" s="71">
        <v>4</v>
      </c>
      <c r="AH43" s="71">
        <v>4</v>
      </c>
      <c r="AI43" s="71">
        <v>3</v>
      </c>
      <c r="AJ43" s="71">
        <v>2</v>
      </c>
      <c r="AK43" s="71">
        <v>4</v>
      </c>
    </row>
    <row r="44" spans="1:37" ht="15.5">
      <c r="A44" s="49" t="s">
        <v>119</v>
      </c>
      <c r="B44" s="49">
        <v>760</v>
      </c>
      <c r="C44" s="49" t="s">
        <v>399</v>
      </c>
      <c r="D44" s="134">
        <f t="shared" si="2"/>
        <v>12.666666666666666</v>
      </c>
      <c r="E44" s="71">
        <v>2</v>
      </c>
      <c r="F44" s="71">
        <v>2</v>
      </c>
      <c r="G44" s="71"/>
      <c r="H44" s="71">
        <v>2</v>
      </c>
      <c r="I44" s="71">
        <v>3</v>
      </c>
      <c r="J44" s="71">
        <v>4</v>
      </c>
      <c r="K44" s="71">
        <v>5</v>
      </c>
      <c r="L44" s="71">
        <v>6</v>
      </c>
      <c r="M44" s="71">
        <v>7</v>
      </c>
      <c r="N44" s="71">
        <v>8</v>
      </c>
      <c r="O44" s="71"/>
      <c r="P44" s="71">
        <v>10</v>
      </c>
      <c r="Q44" s="71">
        <v>11</v>
      </c>
      <c r="R44" s="71">
        <v>12</v>
      </c>
      <c r="S44" s="71">
        <v>13</v>
      </c>
      <c r="T44" s="71"/>
      <c r="U44" s="49">
        <f t="shared" si="3"/>
        <v>11</v>
      </c>
      <c r="V44" s="71">
        <v>4</v>
      </c>
      <c r="W44" s="71">
        <v>3</v>
      </c>
      <c r="X44" s="71">
        <v>3</v>
      </c>
      <c r="Y44" s="71">
        <v>5</v>
      </c>
      <c r="Z44" s="71">
        <v>4</v>
      </c>
      <c r="AA44" s="71">
        <v>5</v>
      </c>
      <c r="AB44" s="71">
        <v>6</v>
      </c>
      <c r="AC44" s="71">
        <v>3</v>
      </c>
      <c r="AD44" s="71">
        <v>3</v>
      </c>
      <c r="AE44" s="71">
        <v>4</v>
      </c>
      <c r="AF44" s="71">
        <v>4</v>
      </c>
      <c r="AG44" s="71">
        <v>4</v>
      </c>
      <c r="AH44" s="71">
        <v>4</v>
      </c>
      <c r="AI44" s="71">
        <v>2</v>
      </c>
      <c r="AJ44" s="71">
        <v>2</v>
      </c>
      <c r="AK44" s="71">
        <v>1</v>
      </c>
    </row>
    <row r="45" spans="1:37" ht="15.5">
      <c r="A45" s="49" t="s">
        <v>178</v>
      </c>
      <c r="B45" s="49">
        <v>759</v>
      </c>
      <c r="C45" s="49" t="s">
        <v>399</v>
      </c>
      <c r="D45" s="134">
        <f t="shared" si="2"/>
        <v>12.65</v>
      </c>
      <c r="E45" s="71">
        <v>1</v>
      </c>
      <c r="F45" s="71">
        <v>4</v>
      </c>
      <c r="G45" s="71"/>
      <c r="H45" s="71">
        <v>2</v>
      </c>
      <c r="I45" s="71"/>
      <c r="J45" s="71"/>
      <c r="K45" s="71">
        <v>5</v>
      </c>
      <c r="L45" s="71">
        <v>6</v>
      </c>
      <c r="M45" s="71"/>
      <c r="N45" s="71"/>
      <c r="O45" s="71"/>
      <c r="P45" s="71"/>
      <c r="Q45" s="71"/>
      <c r="R45" s="71"/>
      <c r="S45" s="71"/>
      <c r="T45" s="71"/>
      <c r="U45" s="49">
        <f t="shared" si="3"/>
        <v>3</v>
      </c>
      <c r="V45" s="71">
        <v>6</v>
      </c>
      <c r="W45" s="71">
        <v>3</v>
      </c>
      <c r="X45" s="71">
        <v>3</v>
      </c>
      <c r="Y45" s="71">
        <v>3</v>
      </c>
      <c r="Z45" s="71">
        <v>3</v>
      </c>
      <c r="AA45" s="71">
        <v>3</v>
      </c>
      <c r="AB45" s="71">
        <v>6</v>
      </c>
      <c r="AC45" s="71">
        <v>3</v>
      </c>
      <c r="AD45" s="71">
        <v>3</v>
      </c>
      <c r="AE45" s="71">
        <v>3</v>
      </c>
      <c r="AF45" s="71">
        <v>3</v>
      </c>
      <c r="AG45" s="71">
        <v>3</v>
      </c>
      <c r="AH45" s="71">
        <v>3</v>
      </c>
      <c r="AI45" s="71">
        <v>2</v>
      </c>
      <c r="AJ45" s="71">
        <v>2</v>
      </c>
      <c r="AK45" s="71">
        <v>2</v>
      </c>
    </row>
    <row r="46" spans="1:37" ht="15.5">
      <c r="A46" s="49" t="s">
        <v>106</v>
      </c>
      <c r="B46" s="49">
        <v>753</v>
      </c>
      <c r="C46" s="49" t="s">
        <v>399</v>
      </c>
      <c r="D46" s="134">
        <f t="shared" si="2"/>
        <v>12.55</v>
      </c>
      <c r="E46" s="71">
        <v>2</v>
      </c>
      <c r="F46" s="71">
        <v>4</v>
      </c>
      <c r="G46" s="71">
        <v>1</v>
      </c>
      <c r="H46" s="71">
        <v>2</v>
      </c>
      <c r="I46" s="71">
        <v>3</v>
      </c>
      <c r="J46" s="71">
        <v>4</v>
      </c>
      <c r="K46" s="71">
        <v>5</v>
      </c>
      <c r="L46" s="71">
        <v>6</v>
      </c>
      <c r="M46" s="71">
        <v>7</v>
      </c>
      <c r="N46" s="71">
        <v>8</v>
      </c>
      <c r="O46" s="71">
        <v>9</v>
      </c>
      <c r="P46" s="71">
        <v>10</v>
      </c>
      <c r="Q46" s="71">
        <v>11</v>
      </c>
      <c r="R46" s="71">
        <v>12</v>
      </c>
      <c r="S46" s="71">
        <v>13</v>
      </c>
      <c r="T46" s="71"/>
      <c r="U46" s="49">
        <f t="shared" si="3"/>
        <v>13</v>
      </c>
      <c r="V46" s="71">
        <v>4</v>
      </c>
      <c r="W46" s="71">
        <v>5</v>
      </c>
      <c r="X46" s="71">
        <v>5</v>
      </c>
      <c r="Y46" s="71">
        <v>5</v>
      </c>
      <c r="Z46" s="71">
        <v>5</v>
      </c>
      <c r="AA46" s="71">
        <v>5</v>
      </c>
      <c r="AB46" s="71">
        <v>6</v>
      </c>
      <c r="AC46" s="71">
        <v>5</v>
      </c>
      <c r="AD46" s="71">
        <v>5</v>
      </c>
      <c r="AE46" s="71">
        <v>5</v>
      </c>
      <c r="AF46" s="71">
        <v>5</v>
      </c>
      <c r="AG46" s="71">
        <v>5</v>
      </c>
      <c r="AH46" s="71">
        <v>5</v>
      </c>
      <c r="AI46" s="71">
        <v>4</v>
      </c>
      <c r="AJ46" s="71">
        <v>4</v>
      </c>
      <c r="AK46" s="71">
        <v>4</v>
      </c>
    </row>
    <row r="47" spans="1:37" ht="15.5">
      <c r="A47" s="49" t="s">
        <v>155</v>
      </c>
      <c r="B47" s="49">
        <v>740</v>
      </c>
      <c r="C47" s="49" t="s">
        <v>399</v>
      </c>
      <c r="D47" s="134">
        <f t="shared" si="2"/>
        <v>12.333333333333334</v>
      </c>
      <c r="E47" s="71">
        <v>2</v>
      </c>
      <c r="F47" s="71">
        <v>2</v>
      </c>
      <c r="G47" s="71"/>
      <c r="H47" s="71"/>
      <c r="I47" s="71"/>
      <c r="J47" s="71"/>
      <c r="K47" s="71"/>
      <c r="L47" s="71"/>
      <c r="M47" s="71"/>
      <c r="N47" s="71"/>
      <c r="O47" s="71"/>
      <c r="P47" s="71">
        <v>10</v>
      </c>
      <c r="Q47" s="71"/>
      <c r="R47" s="71">
        <v>12</v>
      </c>
      <c r="S47" s="71"/>
      <c r="T47" s="71"/>
      <c r="U47" s="49">
        <f t="shared" si="3"/>
        <v>2</v>
      </c>
      <c r="V47" s="71">
        <v>4</v>
      </c>
      <c r="W47" s="71">
        <v>3</v>
      </c>
      <c r="X47" s="71">
        <v>3</v>
      </c>
      <c r="Y47" s="71">
        <v>3</v>
      </c>
      <c r="Z47" s="71">
        <v>3</v>
      </c>
      <c r="AA47" s="71">
        <v>3</v>
      </c>
      <c r="AB47" s="71">
        <v>7</v>
      </c>
      <c r="AC47" s="71">
        <v>3</v>
      </c>
      <c r="AD47" s="71">
        <v>3</v>
      </c>
      <c r="AE47" s="71">
        <v>4</v>
      </c>
      <c r="AF47" s="71">
        <v>3</v>
      </c>
      <c r="AG47" s="71">
        <v>3</v>
      </c>
      <c r="AH47" s="71">
        <v>4</v>
      </c>
      <c r="AI47" s="71">
        <v>3</v>
      </c>
      <c r="AJ47" s="71">
        <v>3</v>
      </c>
      <c r="AK47" s="71">
        <v>3</v>
      </c>
    </row>
    <row r="48" spans="1:37" ht="15.5">
      <c r="A48" s="49" t="s">
        <v>152</v>
      </c>
      <c r="B48" s="49">
        <v>737</v>
      </c>
      <c r="C48" s="49" t="s">
        <v>399</v>
      </c>
      <c r="D48" s="134">
        <f t="shared" si="2"/>
        <v>12.283333333333333</v>
      </c>
      <c r="E48" s="71">
        <v>2</v>
      </c>
      <c r="F48" s="71">
        <v>5</v>
      </c>
      <c r="G48" s="71"/>
      <c r="H48" s="71"/>
      <c r="I48" s="71"/>
      <c r="J48" s="71"/>
      <c r="K48" s="71"/>
      <c r="L48" s="71">
        <v>6</v>
      </c>
      <c r="M48" s="71"/>
      <c r="N48" s="71"/>
      <c r="O48" s="71"/>
      <c r="P48" s="71"/>
      <c r="Q48" s="71"/>
      <c r="R48" s="71"/>
      <c r="S48" s="71"/>
      <c r="T48" s="71"/>
      <c r="U48" s="49">
        <f t="shared" si="3"/>
        <v>1</v>
      </c>
      <c r="V48" s="71">
        <v>6</v>
      </c>
      <c r="W48" s="71">
        <v>1</v>
      </c>
      <c r="X48" s="71">
        <v>1</v>
      </c>
      <c r="Y48" s="71">
        <v>1</v>
      </c>
      <c r="Z48" s="71">
        <v>3</v>
      </c>
      <c r="AA48" s="71">
        <v>5</v>
      </c>
      <c r="AB48" s="71">
        <v>4</v>
      </c>
      <c r="AC48" s="71">
        <v>1</v>
      </c>
      <c r="AD48" s="71">
        <v>4</v>
      </c>
      <c r="AE48" s="71">
        <v>4</v>
      </c>
      <c r="AF48" s="71">
        <v>2</v>
      </c>
      <c r="AG48" s="71">
        <v>4</v>
      </c>
      <c r="AH48" s="71">
        <v>4</v>
      </c>
      <c r="AI48" s="71">
        <v>1</v>
      </c>
      <c r="AJ48" s="71">
        <v>1</v>
      </c>
      <c r="AK48" s="71">
        <v>1</v>
      </c>
    </row>
    <row r="49" spans="1:37" ht="15.5">
      <c r="A49" s="49" t="s">
        <v>110</v>
      </c>
      <c r="B49" s="49">
        <v>734</v>
      </c>
      <c r="C49" s="49" t="s">
        <v>399</v>
      </c>
      <c r="D49" s="134">
        <f t="shared" si="2"/>
        <v>12.233333333333333</v>
      </c>
      <c r="E49" s="71">
        <v>2</v>
      </c>
      <c r="F49" s="71">
        <v>1</v>
      </c>
      <c r="G49" s="71">
        <v>1</v>
      </c>
      <c r="H49" s="71">
        <v>2</v>
      </c>
      <c r="I49" s="71">
        <v>3</v>
      </c>
      <c r="J49" s="71">
        <v>4</v>
      </c>
      <c r="K49" s="71">
        <v>5</v>
      </c>
      <c r="L49" s="71">
        <v>6</v>
      </c>
      <c r="M49" s="71">
        <v>7</v>
      </c>
      <c r="N49" s="71">
        <v>8</v>
      </c>
      <c r="O49" s="71">
        <v>9</v>
      </c>
      <c r="P49" s="71">
        <v>10</v>
      </c>
      <c r="Q49" s="71">
        <v>11</v>
      </c>
      <c r="R49" s="71">
        <v>12</v>
      </c>
      <c r="S49" s="71">
        <v>13</v>
      </c>
      <c r="T49" s="71"/>
      <c r="U49" s="49">
        <f t="shared" si="3"/>
        <v>13</v>
      </c>
      <c r="V49" s="71">
        <v>5</v>
      </c>
      <c r="W49" s="71">
        <v>5</v>
      </c>
      <c r="X49" s="71">
        <v>5</v>
      </c>
      <c r="Y49" s="71">
        <v>5</v>
      </c>
      <c r="Z49" s="71">
        <v>4</v>
      </c>
      <c r="AA49" s="71">
        <v>4</v>
      </c>
      <c r="AB49" s="71">
        <v>7</v>
      </c>
      <c r="AC49" s="71">
        <v>4</v>
      </c>
      <c r="AD49" s="71">
        <v>5</v>
      </c>
      <c r="AE49" s="71">
        <v>5</v>
      </c>
      <c r="AF49" s="71">
        <v>5</v>
      </c>
      <c r="AG49" s="71">
        <v>5</v>
      </c>
      <c r="AH49" s="71">
        <v>5</v>
      </c>
      <c r="AI49" s="71">
        <v>4</v>
      </c>
      <c r="AJ49" s="71">
        <v>4</v>
      </c>
      <c r="AK49" s="71">
        <v>4</v>
      </c>
    </row>
    <row r="50" spans="1:37" ht="15.5">
      <c r="A50" s="49" t="s">
        <v>146</v>
      </c>
      <c r="B50" s="49">
        <v>714</v>
      </c>
      <c r="C50" s="49" t="s">
        <v>399</v>
      </c>
      <c r="D50" s="134">
        <f t="shared" si="2"/>
        <v>11.9</v>
      </c>
      <c r="E50" s="71">
        <v>2</v>
      </c>
      <c r="F50" s="71">
        <v>5</v>
      </c>
      <c r="G50" s="71"/>
      <c r="H50" s="71">
        <v>2</v>
      </c>
      <c r="I50" s="71">
        <v>3</v>
      </c>
      <c r="J50" s="71"/>
      <c r="K50" s="71"/>
      <c r="L50" s="71"/>
      <c r="M50" s="71">
        <v>7</v>
      </c>
      <c r="N50" s="71"/>
      <c r="O50" s="71"/>
      <c r="P50" s="71"/>
      <c r="Q50" s="71"/>
      <c r="R50" s="71"/>
      <c r="S50" s="71"/>
      <c r="T50" s="71"/>
      <c r="U50" s="49">
        <f t="shared" si="3"/>
        <v>3</v>
      </c>
      <c r="V50" s="71">
        <v>3</v>
      </c>
      <c r="W50" s="71">
        <v>2</v>
      </c>
      <c r="X50" s="71">
        <v>2</v>
      </c>
      <c r="Y50" s="71">
        <v>3</v>
      </c>
      <c r="Z50" s="71">
        <v>5</v>
      </c>
      <c r="AA50" s="71">
        <v>5</v>
      </c>
      <c r="AB50" s="71">
        <v>2</v>
      </c>
      <c r="AC50" s="71">
        <v>4</v>
      </c>
      <c r="AD50" s="71">
        <v>4</v>
      </c>
      <c r="AE50" s="71">
        <v>3</v>
      </c>
      <c r="AF50" s="71">
        <v>3</v>
      </c>
      <c r="AG50" s="71">
        <v>4</v>
      </c>
      <c r="AH50" s="71">
        <v>5</v>
      </c>
      <c r="AI50" s="71">
        <v>2</v>
      </c>
      <c r="AJ50" s="71">
        <v>2</v>
      </c>
      <c r="AK50" s="71">
        <v>2</v>
      </c>
    </row>
    <row r="51" spans="1:37" ht="15.5">
      <c r="A51" s="49" t="s">
        <v>130</v>
      </c>
      <c r="B51" s="49">
        <v>708</v>
      </c>
      <c r="C51" s="49" t="s">
        <v>399</v>
      </c>
      <c r="D51" s="134">
        <f t="shared" si="2"/>
        <v>11.8</v>
      </c>
      <c r="E51" s="71">
        <v>2</v>
      </c>
      <c r="F51" s="71">
        <v>2</v>
      </c>
      <c r="G51" s="71">
        <v>1</v>
      </c>
      <c r="H51" s="71">
        <v>2</v>
      </c>
      <c r="I51" s="71">
        <v>3</v>
      </c>
      <c r="J51" s="71">
        <v>4</v>
      </c>
      <c r="K51" s="71">
        <v>5</v>
      </c>
      <c r="L51" s="71">
        <v>6</v>
      </c>
      <c r="M51" s="71">
        <v>7</v>
      </c>
      <c r="N51" s="71"/>
      <c r="O51" s="71">
        <v>9</v>
      </c>
      <c r="P51" s="71">
        <v>10</v>
      </c>
      <c r="Q51" s="71">
        <v>11</v>
      </c>
      <c r="R51" s="71">
        <v>12</v>
      </c>
      <c r="S51" s="71"/>
      <c r="T51" s="71"/>
      <c r="U51" s="49">
        <f t="shared" si="3"/>
        <v>11</v>
      </c>
      <c r="V51" s="71">
        <v>3</v>
      </c>
      <c r="W51" s="71">
        <v>4</v>
      </c>
      <c r="X51" s="71">
        <v>4</v>
      </c>
      <c r="Y51" s="71">
        <v>4</v>
      </c>
      <c r="Z51" s="71">
        <v>4</v>
      </c>
      <c r="AA51" s="71">
        <v>4</v>
      </c>
      <c r="AB51" s="71">
        <v>3</v>
      </c>
      <c r="AC51" s="71">
        <v>4</v>
      </c>
      <c r="AD51" s="71">
        <v>4</v>
      </c>
      <c r="AE51" s="71">
        <v>4</v>
      </c>
      <c r="AF51" s="71">
        <v>4</v>
      </c>
      <c r="AG51" s="71">
        <v>4</v>
      </c>
      <c r="AH51" s="71">
        <v>4</v>
      </c>
      <c r="AI51" s="71">
        <v>4</v>
      </c>
      <c r="AJ51" s="71">
        <v>4</v>
      </c>
      <c r="AK51" s="71">
        <v>3</v>
      </c>
    </row>
    <row r="52" spans="1:37" ht="15.5">
      <c r="A52" s="49" t="s">
        <v>175</v>
      </c>
      <c r="B52" s="49">
        <v>706</v>
      </c>
      <c r="C52" s="49" t="s">
        <v>399</v>
      </c>
      <c r="D52" s="134">
        <f t="shared" si="2"/>
        <v>11.766666666666667</v>
      </c>
      <c r="E52" s="71">
        <v>2</v>
      </c>
      <c r="F52" s="71">
        <v>6</v>
      </c>
      <c r="G52" s="71"/>
      <c r="H52" s="71">
        <v>2</v>
      </c>
      <c r="I52" s="71"/>
      <c r="J52" s="71">
        <v>4</v>
      </c>
      <c r="K52" s="71"/>
      <c r="L52" s="71"/>
      <c r="M52" s="71">
        <v>7</v>
      </c>
      <c r="N52" s="71"/>
      <c r="O52" s="71"/>
      <c r="P52" s="71">
        <v>10</v>
      </c>
      <c r="Q52" s="71"/>
      <c r="R52" s="71">
        <v>12</v>
      </c>
      <c r="S52" s="71"/>
      <c r="T52" s="71"/>
      <c r="U52" s="49">
        <f t="shared" si="3"/>
        <v>5</v>
      </c>
      <c r="V52" s="71">
        <v>6</v>
      </c>
      <c r="W52" s="71">
        <v>3</v>
      </c>
      <c r="X52" s="71">
        <v>3</v>
      </c>
      <c r="Y52" s="71">
        <v>2</v>
      </c>
      <c r="Z52" s="71">
        <v>4</v>
      </c>
      <c r="AA52" s="71">
        <v>5</v>
      </c>
      <c r="AB52" s="71">
        <v>1</v>
      </c>
      <c r="AC52" s="71">
        <v>3</v>
      </c>
      <c r="AD52" s="71">
        <v>4</v>
      </c>
      <c r="AE52" s="71">
        <v>3</v>
      </c>
      <c r="AF52" s="71">
        <v>3</v>
      </c>
      <c r="AG52" s="71">
        <v>3</v>
      </c>
      <c r="AH52" s="71">
        <v>4</v>
      </c>
      <c r="AI52" s="71">
        <v>1</v>
      </c>
      <c r="AJ52" s="71">
        <v>1</v>
      </c>
      <c r="AK52" s="71">
        <v>2</v>
      </c>
    </row>
    <row r="53" spans="1:37" ht="15.5">
      <c r="A53" s="49" t="s">
        <v>150</v>
      </c>
      <c r="B53" s="49">
        <v>688</v>
      </c>
      <c r="C53" s="49" t="s">
        <v>399</v>
      </c>
      <c r="D53" s="134">
        <f t="shared" si="2"/>
        <v>11.466666666666667</v>
      </c>
      <c r="E53" s="71">
        <v>1</v>
      </c>
      <c r="F53" s="71">
        <v>1</v>
      </c>
      <c r="G53" s="71"/>
      <c r="H53" s="71">
        <v>2</v>
      </c>
      <c r="I53" s="71">
        <v>3</v>
      </c>
      <c r="J53" s="71"/>
      <c r="K53" s="71"/>
      <c r="L53" s="71">
        <v>6</v>
      </c>
      <c r="M53" s="71"/>
      <c r="N53" s="71"/>
      <c r="O53" s="71"/>
      <c r="P53" s="71"/>
      <c r="Q53" s="71"/>
      <c r="R53" s="71"/>
      <c r="S53" s="71"/>
      <c r="T53" s="71"/>
      <c r="U53" s="49">
        <f t="shared" si="3"/>
        <v>3</v>
      </c>
      <c r="V53" s="71">
        <v>6</v>
      </c>
      <c r="W53" s="71">
        <v>3</v>
      </c>
      <c r="X53" s="71">
        <v>2</v>
      </c>
      <c r="Y53" s="71">
        <v>3</v>
      </c>
      <c r="Z53" s="71">
        <v>4</v>
      </c>
      <c r="AA53" s="71">
        <v>4</v>
      </c>
      <c r="AB53" s="71">
        <v>3</v>
      </c>
      <c r="AC53" s="71">
        <v>4</v>
      </c>
      <c r="AD53" s="71">
        <v>5</v>
      </c>
      <c r="AE53" s="71">
        <v>5</v>
      </c>
      <c r="AF53" s="71">
        <v>4</v>
      </c>
      <c r="AG53" s="71">
        <v>5</v>
      </c>
      <c r="AH53" s="71">
        <v>4</v>
      </c>
      <c r="AI53" s="71">
        <v>2</v>
      </c>
      <c r="AJ53" s="71">
        <v>2</v>
      </c>
      <c r="AK53" s="71">
        <v>1</v>
      </c>
    </row>
    <row r="54" spans="1:37" ht="15.5">
      <c r="A54" s="49" t="s">
        <v>137</v>
      </c>
      <c r="B54" s="49">
        <v>687</v>
      </c>
      <c r="C54" s="49" t="s">
        <v>399</v>
      </c>
      <c r="D54" s="134">
        <f t="shared" si="2"/>
        <v>11.45</v>
      </c>
      <c r="E54" s="71">
        <v>2</v>
      </c>
      <c r="F54" s="71">
        <v>6</v>
      </c>
      <c r="G54" s="71"/>
      <c r="H54" s="71"/>
      <c r="I54" s="71"/>
      <c r="J54" s="71"/>
      <c r="K54" s="71"/>
      <c r="L54" s="71"/>
      <c r="M54" s="71"/>
      <c r="N54" s="71"/>
      <c r="O54" s="71"/>
      <c r="P54" s="71"/>
      <c r="Q54" s="71"/>
      <c r="R54" s="71"/>
      <c r="S54" s="71"/>
      <c r="T54" s="71">
        <v>14</v>
      </c>
      <c r="U54" s="49">
        <f t="shared" si="3"/>
        <v>0</v>
      </c>
      <c r="V54" s="71">
        <v>6</v>
      </c>
      <c r="W54" s="71">
        <v>3</v>
      </c>
      <c r="X54" s="71">
        <v>3</v>
      </c>
      <c r="Y54" s="71">
        <v>3</v>
      </c>
      <c r="Z54" s="71">
        <v>1</v>
      </c>
      <c r="AA54" s="71">
        <v>1</v>
      </c>
      <c r="AB54" s="71">
        <v>1</v>
      </c>
      <c r="AC54" s="71">
        <v>3</v>
      </c>
      <c r="AD54" s="71">
        <v>3</v>
      </c>
      <c r="AE54" s="71">
        <v>3</v>
      </c>
      <c r="AF54" s="71">
        <v>3</v>
      </c>
      <c r="AG54" s="71">
        <v>3</v>
      </c>
      <c r="AH54" s="71">
        <v>3</v>
      </c>
      <c r="AI54" s="71">
        <v>2</v>
      </c>
      <c r="AJ54" s="71">
        <v>2</v>
      </c>
      <c r="AK54" s="71">
        <v>2</v>
      </c>
    </row>
    <row r="55" spans="1:37" ht="15.5">
      <c r="A55" s="49" t="s">
        <v>83</v>
      </c>
      <c r="B55" s="49">
        <v>687</v>
      </c>
      <c r="C55" s="49" t="s">
        <v>399</v>
      </c>
      <c r="D55" s="134">
        <f t="shared" si="2"/>
        <v>11.45</v>
      </c>
      <c r="E55" s="71">
        <v>2</v>
      </c>
      <c r="F55" s="71">
        <v>2</v>
      </c>
      <c r="G55" s="71"/>
      <c r="H55" s="71">
        <v>2</v>
      </c>
      <c r="I55" s="71"/>
      <c r="J55" s="71"/>
      <c r="K55" s="71"/>
      <c r="L55" s="71">
        <v>6</v>
      </c>
      <c r="M55" s="71"/>
      <c r="N55" s="71"/>
      <c r="O55" s="71"/>
      <c r="P55" s="71"/>
      <c r="Q55" s="71"/>
      <c r="R55" s="71">
        <v>12</v>
      </c>
      <c r="S55" s="71">
        <v>13</v>
      </c>
      <c r="T55" s="71"/>
      <c r="U55" s="49">
        <f t="shared" si="3"/>
        <v>4</v>
      </c>
      <c r="V55" s="71">
        <v>4</v>
      </c>
      <c r="W55" s="71">
        <v>4</v>
      </c>
      <c r="X55" s="71">
        <v>4</v>
      </c>
      <c r="Y55" s="71">
        <v>4</v>
      </c>
      <c r="Z55" s="71">
        <v>4</v>
      </c>
      <c r="AA55" s="71">
        <v>4</v>
      </c>
      <c r="AB55" s="71">
        <v>7</v>
      </c>
      <c r="AC55" s="71">
        <v>4</v>
      </c>
      <c r="AD55" s="71">
        <v>4</v>
      </c>
      <c r="AE55" s="71">
        <v>4</v>
      </c>
      <c r="AF55" s="71">
        <v>4</v>
      </c>
      <c r="AG55" s="71">
        <v>4</v>
      </c>
      <c r="AH55" s="71">
        <v>4</v>
      </c>
      <c r="AI55" s="71">
        <v>4</v>
      </c>
      <c r="AJ55" s="71">
        <v>4</v>
      </c>
      <c r="AK55" s="71">
        <v>4</v>
      </c>
    </row>
    <row r="56" spans="1:37">
      <c r="A56" s="49" t="s">
        <v>79</v>
      </c>
      <c r="B56" s="49">
        <v>687</v>
      </c>
      <c r="C56" s="49" t="s">
        <v>399</v>
      </c>
      <c r="D56" s="134">
        <f t="shared" si="2"/>
        <v>11.45</v>
      </c>
      <c r="E56">
        <v>2</v>
      </c>
      <c r="F56">
        <v>1</v>
      </c>
      <c r="G56">
        <v>1</v>
      </c>
      <c r="H56"/>
      <c r="I56"/>
      <c r="J56"/>
      <c r="K56">
        <v>5</v>
      </c>
      <c r="L56"/>
      <c r="M56"/>
      <c r="N56"/>
      <c r="O56"/>
      <c r="P56">
        <v>10</v>
      </c>
      <c r="Q56"/>
      <c r="R56"/>
      <c r="S56"/>
      <c r="T56"/>
      <c r="U56" s="49">
        <f t="shared" si="3"/>
        <v>3</v>
      </c>
      <c r="V56">
        <v>5</v>
      </c>
      <c r="W56">
        <v>5</v>
      </c>
      <c r="X56">
        <v>4</v>
      </c>
      <c r="Y56">
        <v>5</v>
      </c>
      <c r="Z56">
        <v>4</v>
      </c>
      <c r="AA56">
        <v>4</v>
      </c>
      <c r="AB56">
        <v>3</v>
      </c>
      <c r="AC56">
        <v>4</v>
      </c>
      <c r="AD56">
        <v>4</v>
      </c>
      <c r="AE56">
        <v>4</v>
      </c>
      <c r="AF56">
        <v>4</v>
      </c>
      <c r="AG56">
        <v>4</v>
      </c>
      <c r="AH56">
        <v>5</v>
      </c>
      <c r="AI56">
        <v>4</v>
      </c>
      <c r="AJ56">
        <v>5</v>
      </c>
      <c r="AK56">
        <v>4</v>
      </c>
    </row>
    <row r="57" spans="1:37" ht="15.5">
      <c r="A57" s="49" t="s">
        <v>160</v>
      </c>
      <c r="B57" s="49">
        <v>685</v>
      </c>
      <c r="C57" s="49" t="s">
        <v>399</v>
      </c>
      <c r="D57" s="134">
        <f t="shared" si="2"/>
        <v>11.416666666666666</v>
      </c>
      <c r="E57" s="71">
        <v>2</v>
      </c>
      <c r="F57" s="71">
        <v>2</v>
      </c>
      <c r="G57" s="71"/>
      <c r="H57" s="71">
        <v>2</v>
      </c>
      <c r="I57" s="71">
        <v>3</v>
      </c>
      <c r="J57" s="71">
        <v>4</v>
      </c>
      <c r="K57" s="71">
        <v>5</v>
      </c>
      <c r="L57" s="71">
        <v>6</v>
      </c>
      <c r="M57" s="71">
        <v>7</v>
      </c>
      <c r="N57" s="71">
        <v>8</v>
      </c>
      <c r="O57" s="71"/>
      <c r="P57" s="71">
        <v>10</v>
      </c>
      <c r="Q57" s="71">
        <v>11</v>
      </c>
      <c r="R57" s="71">
        <v>12</v>
      </c>
      <c r="S57" s="71"/>
      <c r="T57" s="71"/>
      <c r="U57" s="49">
        <f t="shared" si="3"/>
        <v>10</v>
      </c>
      <c r="V57" s="71">
        <v>6</v>
      </c>
      <c r="W57" s="71">
        <v>4</v>
      </c>
      <c r="X57" s="71">
        <v>4</v>
      </c>
      <c r="Y57" s="71">
        <v>4</v>
      </c>
      <c r="Z57" s="71">
        <v>4</v>
      </c>
      <c r="AA57" s="71">
        <v>3</v>
      </c>
      <c r="AB57" s="71">
        <v>3</v>
      </c>
      <c r="AC57" s="71">
        <v>3</v>
      </c>
      <c r="AD57" s="71">
        <v>4</v>
      </c>
      <c r="AE57" s="71">
        <v>4</v>
      </c>
      <c r="AF57" s="71">
        <v>3</v>
      </c>
      <c r="AG57" s="71">
        <v>4</v>
      </c>
      <c r="AH57" s="71">
        <v>5</v>
      </c>
      <c r="AI57" s="71">
        <v>3</v>
      </c>
      <c r="AJ57" s="71">
        <v>3</v>
      </c>
      <c r="AK57" s="71">
        <v>3</v>
      </c>
    </row>
    <row r="58" spans="1:37" ht="15.5">
      <c r="A58" s="49" t="s">
        <v>90</v>
      </c>
      <c r="B58" s="49">
        <v>670</v>
      </c>
      <c r="C58" s="49" t="s">
        <v>399</v>
      </c>
      <c r="D58" s="134">
        <f t="shared" si="2"/>
        <v>11.166666666666666</v>
      </c>
      <c r="E58" s="71">
        <v>1</v>
      </c>
      <c r="F58" s="71">
        <v>2</v>
      </c>
      <c r="G58" s="71"/>
      <c r="H58" s="71">
        <v>2</v>
      </c>
      <c r="I58" s="71"/>
      <c r="J58" s="71">
        <v>4</v>
      </c>
      <c r="K58" s="71">
        <v>5</v>
      </c>
      <c r="L58" s="71">
        <v>6</v>
      </c>
      <c r="M58" s="71">
        <v>7</v>
      </c>
      <c r="N58" s="71">
        <v>8</v>
      </c>
      <c r="O58" s="71">
        <v>9</v>
      </c>
      <c r="P58" s="71"/>
      <c r="Q58" s="71">
        <v>11</v>
      </c>
      <c r="R58" s="71">
        <v>12</v>
      </c>
      <c r="S58" s="71"/>
      <c r="T58" s="71"/>
      <c r="U58" s="49">
        <f t="shared" si="3"/>
        <v>9</v>
      </c>
      <c r="V58" s="71">
        <v>5</v>
      </c>
      <c r="W58" s="71">
        <v>3</v>
      </c>
      <c r="X58" s="71">
        <v>3</v>
      </c>
      <c r="Y58" s="71">
        <v>4</v>
      </c>
      <c r="Z58" s="71">
        <v>4</v>
      </c>
      <c r="AA58" s="71">
        <v>4</v>
      </c>
      <c r="AB58" s="71">
        <v>1</v>
      </c>
      <c r="AC58" s="71">
        <v>5</v>
      </c>
      <c r="AD58" s="71">
        <v>5</v>
      </c>
      <c r="AE58" s="71">
        <v>5</v>
      </c>
      <c r="AF58" s="71">
        <v>5</v>
      </c>
      <c r="AG58" s="71">
        <v>5</v>
      </c>
      <c r="AH58" s="71">
        <v>4</v>
      </c>
      <c r="AI58" s="71">
        <v>4</v>
      </c>
      <c r="AJ58" s="71">
        <v>4</v>
      </c>
      <c r="AK58" s="71">
        <v>4</v>
      </c>
    </row>
    <row r="59" spans="1:37" ht="15.5">
      <c r="A59" s="49" t="s">
        <v>133</v>
      </c>
      <c r="B59" s="49">
        <v>665</v>
      </c>
      <c r="C59" s="49" t="s">
        <v>399</v>
      </c>
      <c r="D59" s="134">
        <f t="shared" si="2"/>
        <v>11.083333333333334</v>
      </c>
      <c r="E59" s="71">
        <v>1</v>
      </c>
      <c r="F59" s="71">
        <v>2</v>
      </c>
      <c r="G59" s="71"/>
      <c r="H59" s="71"/>
      <c r="I59" s="71"/>
      <c r="J59" s="71"/>
      <c r="K59" s="71"/>
      <c r="L59" s="71"/>
      <c r="M59" s="71">
        <v>7</v>
      </c>
      <c r="N59" s="71">
        <v>8</v>
      </c>
      <c r="O59" s="71">
        <v>9</v>
      </c>
      <c r="P59" s="71">
        <v>10</v>
      </c>
      <c r="Q59" s="71"/>
      <c r="R59" s="71">
        <v>12</v>
      </c>
      <c r="S59" s="71">
        <v>13</v>
      </c>
      <c r="T59" s="71"/>
      <c r="U59" s="49">
        <f t="shared" si="3"/>
        <v>6</v>
      </c>
      <c r="V59" s="71">
        <v>4</v>
      </c>
      <c r="W59" s="71">
        <v>3</v>
      </c>
      <c r="X59" s="71">
        <v>3</v>
      </c>
      <c r="Y59" s="71">
        <v>4</v>
      </c>
      <c r="Z59" s="71">
        <v>4</v>
      </c>
      <c r="AA59" s="71">
        <v>3</v>
      </c>
      <c r="AB59" s="71">
        <v>4</v>
      </c>
      <c r="AC59" s="71">
        <v>4</v>
      </c>
      <c r="AD59" s="71">
        <v>4</v>
      </c>
      <c r="AE59" s="71">
        <v>3</v>
      </c>
      <c r="AF59" s="71">
        <v>4</v>
      </c>
      <c r="AG59" s="71">
        <v>2</v>
      </c>
      <c r="AH59" s="71">
        <v>4</v>
      </c>
      <c r="AI59" s="71">
        <v>5</v>
      </c>
      <c r="AJ59" s="71">
        <v>4</v>
      </c>
      <c r="AK59" s="71">
        <v>4</v>
      </c>
    </row>
    <row r="60" spans="1:37" ht="15.5">
      <c r="A60" s="49" t="s">
        <v>157</v>
      </c>
      <c r="B60" s="49">
        <v>632</v>
      </c>
      <c r="C60" s="49" t="s">
        <v>399</v>
      </c>
      <c r="D60" s="134">
        <f t="shared" si="2"/>
        <v>10.533333333333333</v>
      </c>
      <c r="E60" s="71">
        <v>2</v>
      </c>
      <c r="F60" s="71">
        <v>2</v>
      </c>
      <c r="G60" s="71"/>
      <c r="H60" s="71">
        <v>2</v>
      </c>
      <c r="I60" s="71">
        <v>3</v>
      </c>
      <c r="J60" s="71">
        <v>4</v>
      </c>
      <c r="K60" s="71">
        <v>5</v>
      </c>
      <c r="L60" s="71">
        <v>6</v>
      </c>
      <c r="M60" s="71">
        <v>7</v>
      </c>
      <c r="N60" s="71">
        <v>8</v>
      </c>
      <c r="O60" s="71"/>
      <c r="P60" s="71">
        <v>10</v>
      </c>
      <c r="Q60" s="71">
        <v>11</v>
      </c>
      <c r="R60" s="71">
        <v>12</v>
      </c>
      <c r="S60" s="71">
        <v>13</v>
      </c>
      <c r="T60" s="71"/>
      <c r="U60" s="49">
        <f t="shared" si="3"/>
        <v>11</v>
      </c>
      <c r="V60" s="71">
        <v>5</v>
      </c>
      <c r="W60" s="71">
        <v>5</v>
      </c>
      <c r="X60" s="71">
        <v>5</v>
      </c>
      <c r="Y60" s="71">
        <v>5</v>
      </c>
      <c r="Z60" s="71">
        <v>3</v>
      </c>
      <c r="AA60" s="71">
        <v>5</v>
      </c>
      <c r="AB60" s="71">
        <v>5</v>
      </c>
      <c r="AC60" s="71">
        <v>3</v>
      </c>
      <c r="AD60" s="71">
        <v>5</v>
      </c>
      <c r="AE60" s="71">
        <v>5</v>
      </c>
      <c r="AF60" s="71">
        <v>5</v>
      </c>
      <c r="AG60" s="71">
        <v>5</v>
      </c>
      <c r="AH60" s="71">
        <v>4</v>
      </c>
      <c r="AI60" s="71">
        <v>3</v>
      </c>
      <c r="AJ60" s="71">
        <v>3</v>
      </c>
      <c r="AK60" s="71">
        <v>4</v>
      </c>
    </row>
    <row r="61" spans="1:37" ht="15.5">
      <c r="A61" s="49" t="s">
        <v>92</v>
      </c>
      <c r="B61" s="49">
        <v>632</v>
      </c>
      <c r="C61" s="49" t="s">
        <v>399</v>
      </c>
      <c r="D61" s="134">
        <f t="shared" si="2"/>
        <v>10.533333333333333</v>
      </c>
      <c r="E61" s="71">
        <v>2</v>
      </c>
      <c r="F61" s="71">
        <v>2</v>
      </c>
      <c r="G61" s="71"/>
      <c r="H61" s="71">
        <v>2</v>
      </c>
      <c r="I61" s="71"/>
      <c r="J61" s="71"/>
      <c r="K61" s="71"/>
      <c r="L61" s="71">
        <v>6</v>
      </c>
      <c r="M61" s="71"/>
      <c r="N61" s="71"/>
      <c r="O61" s="71"/>
      <c r="P61" s="71"/>
      <c r="Q61" s="71"/>
      <c r="R61" s="71"/>
      <c r="S61" s="71"/>
      <c r="T61" s="71"/>
      <c r="U61" s="49">
        <f t="shared" si="3"/>
        <v>2</v>
      </c>
      <c r="V61" s="71">
        <v>6</v>
      </c>
      <c r="W61" s="71">
        <v>2</v>
      </c>
      <c r="X61" s="71">
        <v>2</v>
      </c>
      <c r="Y61" s="71">
        <v>4</v>
      </c>
      <c r="Z61" s="71">
        <v>5</v>
      </c>
      <c r="AA61" s="71">
        <v>5</v>
      </c>
      <c r="AB61" s="71">
        <v>5</v>
      </c>
      <c r="AC61" s="71">
        <v>2</v>
      </c>
      <c r="AD61" s="71">
        <v>4</v>
      </c>
      <c r="AE61" s="71">
        <v>2</v>
      </c>
      <c r="AF61" s="71">
        <v>4</v>
      </c>
      <c r="AG61" s="71">
        <v>5</v>
      </c>
      <c r="AH61" s="71">
        <v>5</v>
      </c>
      <c r="AI61" s="71">
        <v>1</v>
      </c>
      <c r="AJ61" s="71">
        <v>2</v>
      </c>
      <c r="AK61" s="71">
        <v>1</v>
      </c>
    </row>
    <row r="62" spans="1:37" ht="15.5">
      <c r="A62" s="49" t="s">
        <v>136</v>
      </c>
      <c r="B62" s="49">
        <v>627</v>
      </c>
      <c r="C62" s="49" t="s">
        <v>399</v>
      </c>
      <c r="D62" s="134">
        <f t="shared" si="2"/>
        <v>10.45</v>
      </c>
      <c r="E62" s="71">
        <v>2</v>
      </c>
      <c r="F62" s="71">
        <v>2</v>
      </c>
      <c r="G62" s="71"/>
      <c r="H62" s="71">
        <v>2</v>
      </c>
      <c r="I62" s="71">
        <v>3</v>
      </c>
      <c r="J62" s="71">
        <v>4</v>
      </c>
      <c r="K62" s="71">
        <v>5</v>
      </c>
      <c r="L62" s="71">
        <v>6</v>
      </c>
      <c r="M62" s="71">
        <v>7</v>
      </c>
      <c r="N62" s="71"/>
      <c r="O62" s="71"/>
      <c r="P62" s="71"/>
      <c r="Q62" s="71">
        <v>11</v>
      </c>
      <c r="R62" s="71">
        <v>12</v>
      </c>
      <c r="S62" s="71"/>
      <c r="T62" s="71"/>
      <c r="U62" s="49">
        <f t="shared" si="3"/>
        <v>8</v>
      </c>
      <c r="V62" s="71">
        <v>5</v>
      </c>
      <c r="W62" s="71">
        <v>3</v>
      </c>
      <c r="X62" s="71">
        <v>3</v>
      </c>
      <c r="Y62" s="71">
        <v>3</v>
      </c>
      <c r="Z62" s="71">
        <v>3</v>
      </c>
      <c r="AA62" s="71">
        <v>5</v>
      </c>
      <c r="AB62" s="71">
        <v>2</v>
      </c>
      <c r="AC62" s="71">
        <v>5</v>
      </c>
      <c r="AD62" s="71">
        <v>5</v>
      </c>
      <c r="AE62" s="71">
        <v>5</v>
      </c>
      <c r="AF62" s="71">
        <v>5</v>
      </c>
      <c r="AG62" s="71">
        <v>5</v>
      </c>
      <c r="AH62" s="71">
        <v>5</v>
      </c>
      <c r="AI62" s="71">
        <v>3</v>
      </c>
      <c r="AJ62" s="71">
        <v>3</v>
      </c>
      <c r="AK62" s="71">
        <v>3</v>
      </c>
    </row>
    <row r="63" spans="1:37" ht="15.5">
      <c r="A63" s="49" t="s">
        <v>93</v>
      </c>
      <c r="B63" s="49">
        <v>624</v>
      </c>
      <c r="C63" s="49" t="s">
        <v>399</v>
      </c>
      <c r="D63" s="134">
        <f t="shared" si="2"/>
        <v>10.4</v>
      </c>
      <c r="E63" s="71">
        <v>1</v>
      </c>
      <c r="F63" s="71">
        <v>5</v>
      </c>
      <c r="G63" s="71"/>
      <c r="H63" s="71">
        <v>2</v>
      </c>
      <c r="I63" s="71"/>
      <c r="J63" s="71">
        <v>4</v>
      </c>
      <c r="K63" s="71"/>
      <c r="L63" s="71"/>
      <c r="M63" s="71">
        <v>7</v>
      </c>
      <c r="N63" s="71"/>
      <c r="O63" s="71"/>
      <c r="P63" s="71"/>
      <c r="Q63" s="71"/>
      <c r="R63" s="71"/>
      <c r="S63" s="71"/>
      <c r="T63" s="71"/>
      <c r="U63" s="49">
        <f t="shared" si="3"/>
        <v>3</v>
      </c>
      <c r="V63" s="71">
        <v>4</v>
      </c>
      <c r="W63" s="71">
        <v>3</v>
      </c>
      <c r="X63" s="71">
        <v>1</v>
      </c>
      <c r="Y63" s="71">
        <v>2</v>
      </c>
      <c r="Z63" s="71">
        <v>3</v>
      </c>
      <c r="AA63" s="71">
        <v>2</v>
      </c>
      <c r="AB63" s="71">
        <v>7</v>
      </c>
      <c r="AC63" s="71">
        <v>1</v>
      </c>
      <c r="AD63" s="71">
        <v>2</v>
      </c>
      <c r="AE63" s="71">
        <v>1</v>
      </c>
      <c r="AF63" s="71">
        <v>2</v>
      </c>
      <c r="AG63" s="71">
        <v>2</v>
      </c>
      <c r="AH63" s="71">
        <v>3</v>
      </c>
      <c r="AI63" s="71">
        <v>2</v>
      </c>
      <c r="AJ63" s="71">
        <v>4</v>
      </c>
      <c r="AK63" s="71">
        <v>2</v>
      </c>
    </row>
    <row r="64" spans="1:37" ht="15.5">
      <c r="A64" s="49" t="s">
        <v>153</v>
      </c>
      <c r="B64" s="49">
        <v>618</v>
      </c>
      <c r="C64" s="49" t="s">
        <v>399</v>
      </c>
      <c r="D64" s="134">
        <f t="shared" si="2"/>
        <v>10.3</v>
      </c>
      <c r="E64" s="71">
        <v>2</v>
      </c>
      <c r="F64" s="71">
        <v>2</v>
      </c>
      <c r="G64" s="71"/>
      <c r="H64" s="71">
        <v>2</v>
      </c>
      <c r="I64" s="71">
        <v>3</v>
      </c>
      <c r="J64" s="71"/>
      <c r="K64" s="71">
        <v>5</v>
      </c>
      <c r="L64" s="71">
        <v>6</v>
      </c>
      <c r="M64" s="71">
        <v>7</v>
      </c>
      <c r="N64" s="71">
        <v>8</v>
      </c>
      <c r="O64" s="71"/>
      <c r="P64" s="71"/>
      <c r="Q64" s="71">
        <v>11</v>
      </c>
      <c r="R64" s="71">
        <v>12</v>
      </c>
      <c r="S64" s="71"/>
      <c r="T64" s="71"/>
      <c r="U64" s="49">
        <f t="shared" si="3"/>
        <v>8</v>
      </c>
      <c r="V64" s="71">
        <v>5</v>
      </c>
      <c r="W64" s="71">
        <v>3</v>
      </c>
      <c r="X64" s="71">
        <v>3</v>
      </c>
      <c r="Y64" s="71">
        <v>3</v>
      </c>
      <c r="Z64" s="71">
        <v>3</v>
      </c>
      <c r="AA64" s="71">
        <v>4</v>
      </c>
      <c r="AB64" s="71">
        <v>2</v>
      </c>
      <c r="AC64" s="71">
        <v>3</v>
      </c>
      <c r="AD64" s="71">
        <v>3</v>
      </c>
      <c r="AE64" s="71">
        <v>3</v>
      </c>
      <c r="AF64" s="71">
        <v>4</v>
      </c>
      <c r="AG64" s="71">
        <v>3</v>
      </c>
      <c r="AH64" s="71">
        <v>4</v>
      </c>
      <c r="AI64" s="71">
        <v>3</v>
      </c>
      <c r="AJ64" s="71">
        <v>3</v>
      </c>
      <c r="AK64" s="71">
        <v>3</v>
      </c>
    </row>
    <row r="65" spans="1:37" ht="15.5">
      <c r="A65" s="49" t="s">
        <v>148</v>
      </c>
      <c r="B65" s="49">
        <v>613</v>
      </c>
      <c r="C65" s="49" t="s">
        <v>399</v>
      </c>
      <c r="D65" s="134">
        <f t="shared" si="2"/>
        <v>10.216666666666667</v>
      </c>
      <c r="E65" s="71">
        <v>2</v>
      </c>
      <c r="F65" s="71">
        <v>1</v>
      </c>
      <c r="G65" s="71"/>
      <c r="H65" s="71">
        <v>2</v>
      </c>
      <c r="I65" s="71"/>
      <c r="J65" s="71"/>
      <c r="K65" s="71"/>
      <c r="L65" s="71">
        <v>6</v>
      </c>
      <c r="M65" s="71">
        <v>7</v>
      </c>
      <c r="N65" s="71"/>
      <c r="O65" s="71"/>
      <c r="P65" s="71">
        <v>10</v>
      </c>
      <c r="Q65" s="71"/>
      <c r="R65" s="71"/>
      <c r="S65" s="71"/>
      <c r="T65" s="71"/>
      <c r="U65" s="49">
        <f t="shared" si="3"/>
        <v>4</v>
      </c>
      <c r="V65" s="71">
        <v>4</v>
      </c>
      <c r="W65" s="71">
        <v>5</v>
      </c>
      <c r="X65" s="71">
        <v>4</v>
      </c>
      <c r="Y65" s="71">
        <v>5</v>
      </c>
      <c r="Z65" s="71">
        <v>4</v>
      </c>
      <c r="AA65" s="71">
        <v>5</v>
      </c>
      <c r="AB65" s="71">
        <v>7</v>
      </c>
      <c r="AC65" s="71">
        <v>3</v>
      </c>
      <c r="AD65" s="71">
        <v>4</v>
      </c>
      <c r="AE65" s="71">
        <v>4</v>
      </c>
      <c r="AF65" s="71">
        <v>5</v>
      </c>
      <c r="AG65" s="71">
        <v>4</v>
      </c>
      <c r="AH65" s="71">
        <v>5</v>
      </c>
      <c r="AI65" s="71">
        <v>4</v>
      </c>
      <c r="AJ65" s="71">
        <v>4</v>
      </c>
      <c r="AK65" s="71">
        <v>3</v>
      </c>
    </row>
    <row r="66" spans="1:37" ht="15.5">
      <c r="A66" s="49" t="s">
        <v>172</v>
      </c>
      <c r="B66" s="49">
        <v>598</v>
      </c>
      <c r="C66" s="49" t="s">
        <v>399</v>
      </c>
      <c r="D66" s="134">
        <f t="shared" si="2"/>
        <v>9.9666666666666668</v>
      </c>
      <c r="E66" s="71">
        <v>1</v>
      </c>
      <c r="F66" s="71">
        <v>1</v>
      </c>
      <c r="G66" s="71"/>
      <c r="H66" s="71">
        <v>2</v>
      </c>
      <c r="I66" s="71">
        <v>3</v>
      </c>
      <c r="J66" s="71"/>
      <c r="K66" s="71">
        <v>5</v>
      </c>
      <c r="L66" s="71">
        <v>6</v>
      </c>
      <c r="M66" s="71">
        <v>7</v>
      </c>
      <c r="N66" s="71"/>
      <c r="O66" s="71"/>
      <c r="P66" s="71"/>
      <c r="Q66" s="71">
        <v>11</v>
      </c>
      <c r="R66" s="71">
        <v>12</v>
      </c>
      <c r="S66" s="71"/>
      <c r="T66" s="71"/>
      <c r="U66" s="49">
        <f t="shared" si="3"/>
        <v>7</v>
      </c>
      <c r="V66" s="71">
        <v>4</v>
      </c>
      <c r="W66" s="71">
        <v>4</v>
      </c>
      <c r="X66" s="71">
        <v>4</v>
      </c>
      <c r="Y66" s="71">
        <v>5</v>
      </c>
      <c r="Z66" s="71">
        <v>2</v>
      </c>
      <c r="AA66" s="71">
        <v>5</v>
      </c>
      <c r="AB66" s="71">
        <v>3</v>
      </c>
      <c r="AC66" s="71">
        <v>3</v>
      </c>
      <c r="AD66" s="71">
        <v>5</v>
      </c>
      <c r="AE66" s="71">
        <v>4</v>
      </c>
      <c r="AF66" s="71">
        <v>5</v>
      </c>
      <c r="AG66" s="71">
        <v>4</v>
      </c>
      <c r="AH66" s="71">
        <v>4</v>
      </c>
      <c r="AI66" s="71">
        <v>4</v>
      </c>
      <c r="AJ66" s="71">
        <v>4</v>
      </c>
      <c r="AK66" s="71">
        <v>2</v>
      </c>
    </row>
    <row r="67" spans="1:37" ht="15.5">
      <c r="A67" s="49" t="s">
        <v>139</v>
      </c>
      <c r="B67" s="49">
        <v>598</v>
      </c>
      <c r="C67" s="49" t="s">
        <v>399</v>
      </c>
      <c r="D67" s="134">
        <f t="shared" si="2"/>
        <v>9.9666666666666668</v>
      </c>
      <c r="E67" s="71">
        <v>2</v>
      </c>
      <c r="F67" s="71">
        <v>1</v>
      </c>
      <c r="G67" s="71"/>
      <c r="H67" s="71"/>
      <c r="I67" s="71">
        <v>3</v>
      </c>
      <c r="J67" s="71">
        <v>4</v>
      </c>
      <c r="K67" s="71">
        <v>5</v>
      </c>
      <c r="L67" s="71">
        <v>6</v>
      </c>
      <c r="M67" s="71">
        <v>7</v>
      </c>
      <c r="N67" s="71">
        <v>8</v>
      </c>
      <c r="O67" s="71"/>
      <c r="P67" s="71"/>
      <c r="Q67" s="71">
        <v>11</v>
      </c>
      <c r="R67" s="71"/>
      <c r="S67" s="71"/>
      <c r="T67" s="71"/>
      <c r="U67" s="49">
        <f t="shared" si="3"/>
        <v>7</v>
      </c>
      <c r="V67" s="71">
        <v>3</v>
      </c>
      <c r="W67" s="71">
        <v>4</v>
      </c>
      <c r="X67" s="71">
        <v>4</v>
      </c>
      <c r="Y67" s="71">
        <v>4</v>
      </c>
      <c r="Z67" s="71">
        <v>3</v>
      </c>
      <c r="AA67" s="71">
        <v>4</v>
      </c>
      <c r="AB67" s="71">
        <v>1</v>
      </c>
      <c r="AC67" s="71">
        <v>2</v>
      </c>
      <c r="AD67" s="71">
        <v>4</v>
      </c>
      <c r="AE67" s="71">
        <v>5</v>
      </c>
      <c r="AF67" s="71">
        <v>4</v>
      </c>
      <c r="AG67" s="71">
        <v>5</v>
      </c>
      <c r="AH67" s="71">
        <v>5</v>
      </c>
      <c r="AI67" s="71">
        <v>3</v>
      </c>
      <c r="AJ67" s="71">
        <v>4</v>
      </c>
      <c r="AK67" s="71">
        <v>4</v>
      </c>
    </row>
    <row r="68" spans="1:37" ht="15.5">
      <c r="A68" s="49" t="s">
        <v>154</v>
      </c>
      <c r="B68" s="49">
        <v>588</v>
      </c>
      <c r="C68" s="49" t="s">
        <v>399</v>
      </c>
      <c r="D68" s="134">
        <f t="shared" si="2"/>
        <v>9.8000000000000007</v>
      </c>
      <c r="E68" s="71">
        <v>2</v>
      </c>
      <c r="F68" s="71">
        <v>2</v>
      </c>
      <c r="G68" s="71"/>
      <c r="H68" s="71">
        <v>2</v>
      </c>
      <c r="I68" s="71"/>
      <c r="J68" s="71">
        <v>4</v>
      </c>
      <c r="K68" s="71"/>
      <c r="L68" s="71">
        <v>6</v>
      </c>
      <c r="M68" s="71">
        <v>7</v>
      </c>
      <c r="N68" s="71">
        <v>8</v>
      </c>
      <c r="O68" s="71">
        <v>9</v>
      </c>
      <c r="P68" s="71">
        <v>10</v>
      </c>
      <c r="Q68" s="71"/>
      <c r="R68" s="71"/>
      <c r="S68" s="71">
        <v>13</v>
      </c>
      <c r="T68" s="71"/>
      <c r="U68" s="49">
        <f t="shared" si="3"/>
        <v>8</v>
      </c>
      <c r="V68" s="71">
        <v>6</v>
      </c>
      <c r="W68" s="71">
        <v>4</v>
      </c>
      <c r="X68" s="71">
        <v>4</v>
      </c>
      <c r="Y68" s="71">
        <v>3</v>
      </c>
      <c r="Z68" s="71">
        <v>5</v>
      </c>
      <c r="AA68" s="71">
        <v>5</v>
      </c>
      <c r="AB68" s="71">
        <v>3</v>
      </c>
      <c r="AC68" s="71">
        <v>4</v>
      </c>
      <c r="AD68" s="71">
        <v>4</v>
      </c>
      <c r="AE68" s="71">
        <v>4</v>
      </c>
      <c r="AF68" s="71">
        <v>4</v>
      </c>
      <c r="AG68" s="71">
        <v>4</v>
      </c>
      <c r="AH68" s="71">
        <v>4</v>
      </c>
      <c r="AI68" s="71">
        <v>3</v>
      </c>
      <c r="AJ68" s="71">
        <v>3</v>
      </c>
      <c r="AK68" s="71">
        <v>2</v>
      </c>
    </row>
    <row r="69" spans="1:37" ht="15.5">
      <c r="A69" s="49" t="s">
        <v>149</v>
      </c>
      <c r="B69" s="49">
        <v>587</v>
      </c>
      <c r="C69" s="49" t="s">
        <v>399</v>
      </c>
      <c r="D69" s="134">
        <f t="shared" ref="D69:D100" si="4">B69/60</f>
        <v>9.7833333333333332</v>
      </c>
      <c r="E69" s="71">
        <v>2</v>
      </c>
      <c r="F69" s="71">
        <v>2</v>
      </c>
      <c r="G69" s="71"/>
      <c r="H69" s="71"/>
      <c r="I69" s="71"/>
      <c r="J69" s="71"/>
      <c r="K69" s="71"/>
      <c r="L69" s="71"/>
      <c r="M69" s="71"/>
      <c r="N69" s="71"/>
      <c r="O69" s="71"/>
      <c r="P69" s="71"/>
      <c r="Q69" s="71">
        <v>11</v>
      </c>
      <c r="R69" s="71"/>
      <c r="S69" s="71"/>
      <c r="T69" s="71"/>
      <c r="U69" s="49">
        <f t="shared" ref="U69:U100" si="5">COUNT(G69:S69)</f>
        <v>1</v>
      </c>
      <c r="V69" s="71">
        <v>5</v>
      </c>
      <c r="W69" s="71">
        <v>4</v>
      </c>
      <c r="X69" s="71">
        <v>4</v>
      </c>
      <c r="Y69" s="71">
        <v>4</v>
      </c>
      <c r="Z69" s="71">
        <v>3</v>
      </c>
      <c r="AA69" s="71">
        <v>4</v>
      </c>
      <c r="AB69" s="71">
        <v>3</v>
      </c>
      <c r="AC69" s="71">
        <v>4</v>
      </c>
      <c r="AD69" s="71">
        <v>4</v>
      </c>
      <c r="AE69" s="71">
        <v>4</v>
      </c>
      <c r="AF69" s="71">
        <v>4</v>
      </c>
      <c r="AG69" s="71">
        <v>3</v>
      </c>
      <c r="AH69" s="71">
        <v>4</v>
      </c>
      <c r="AI69" s="71">
        <v>4</v>
      </c>
      <c r="AJ69" s="71">
        <v>4</v>
      </c>
      <c r="AK69" s="71">
        <v>4</v>
      </c>
    </row>
    <row r="70" spans="1:37" ht="15.5">
      <c r="A70" s="49" t="s">
        <v>97</v>
      </c>
      <c r="B70" s="49">
        <v>572</v>
      </c>
      <c r="C70" s="49" t="s">
        <v>399</v>
      </c>
      <c r="D70" s="134">
        <f t="shared" si="4"/>
        <v>9.5333333333333332</v>
      </c>
      <c r="E70" s="71">
        <v>2</v>
      </c>
      <c r="F70" s="71">
        <v>2</v>
      </c>
      <c r="G70" s="71"/>
      <c r="H70" s="71">
        <v>2</v>
      </c>
      <c r="I70" s="71"/>
      <c r="J70" s="71">
        <v>4</v>
      </c>
      <c r="K70" s="71">
        <v>5</v>
      </c>
      <c r="L70" s="71">
        <v>6</v>
      </c>
      <c r="M70" s="71">
        <v>7</v>
      </c>
      <c r="N70" s="71"/>
      <c r="O70" s="71">
        <v>9</v>
      </c>
      <c r="P70" s="71">
        <v>10</v>
      </c>
      <c r="Q70" s="71">
        <v>11</v>
      </c>
      <c r="R70" s="71">
        <v>12</v>
      </c>
      <c r="S70" s="71"/>
      <c r="T70" s="71"/>
      <c r="U70" s="49">
        <f t="shared" si="5"/>
        <v>9</v>
      </c>
      <c r="V70" s="71">
        <v>4</v>
      </c>
      <c r="W70" s="71">
        <v>4</v>
      </c>
      <c r="X70" s="71">
        <v>4</v>
      </c>
      <c r="Y70" s="71">
        <v>4</v>
      </c>
      <c r="Z70" s="71">
        <v>5</v>
      </c>
      <c r="AA70" s="71">
        <v>5</v>
      </c>
      <c r="AB70" s="71">
        <v>3</v>
      </c>
      <c r="AC70" s="71">
        <v>5</v>
      </c>
      <c r="AD70" s="71">
        <v>4</v>
      </c>
      <c r="AE70" s="71">
        <v>3</v>
      </c>
      <c r="AF70" s="71">
        <v>5</v>
      </c>
      <c r="AG70" s="71">
        <v>5</v>
      </c>
      <c r="AH70" s="71">
        <v>4</v>
      </c>
      <c r="AI70" s="71">
        <v>3</v>
      </c>
      <c r="AJ70" s="71">
        <v>3</v>
      </c>
      <c r="AK70" s="71">
        <v>4</v>
      </c>
    </row>
    <row r="71" spans="1:37" ht="15.5">
      <c r="A71" s="49" t="s">
        <v>145</v>
      </c>
      <c r="B71" s="49">
        <v>544</v>
      </c>
      <c r="C71" s="49" t="s">
        <v>399</v>
      </c>
      <c r="D71" s="134">
        <f t="shared" si="4"/>
        <v>9.0666666666666664</v>
      </c>
      <c r="E71" s="71">
        <v>2</v>
      </c>
      <c r="F71" s="71">
        <v>2</v>
      </c>
      <c r="G71" s="71"/>
      <c r="H71" s="71">
        <v>2</v>
      </c>
      <c r="I71" s="71"/>
      <c r="J71" s="71"/>
      <c r="K71" s="71"/>
      <c r="L71" s="71">
        <v>6</v>
      </c>
      <c r="M71" s="71"/>
      <c r="N71" s="71"/>
      <c r="O71" s="71"/>
      <c r="P71" s="71"/>
      <c r="Q71" s="71"/>
      <c r="R71" s="71"/>
      <c r="S71" s="71"/>
      <c r="T71" s="71"/>
      <c r="U71" s="49">
        <f t="shared" si="5"/>
        <v>2</v>
      </c>
      <c r="V71" s="71">
        <v>6</v>
      </c>
      <c r="W71" s="71">
        <v>2</v>
      </c>
      <c r="X71" s="71">
        <v>1</v>
      </c>
      <c r="Y71" s="71">
        <v>3</v>
      </c>
      <c r="Z71" s="71">
        <v>5</v>
      </c>
      <c r="AA71" s="71">
        <v>5</v>
      </c>
      <c r="AB71" s="71">
        <v>3</v>
      </c>
      <c r="AC71" s="71">
        <v>2</v>
      </c>
      <c r="AD71" s="71">
        <v>4</v>
      </c>
      <c r="AE71" s="71">
        <v>4</v>
      </c>
      <c r="AF71" s="71">
        <v>3</v>
      </c>
      <c r="AG71" s="71">
        <v>4</v>
      </c>
      <c r="AH71" s="71">
        <v>3</v>
      </c>
      <c r="AI71" s="71">
        <v>2</v>
      </c>
      <c r="AJ71" s="71">
        <v>2</v>
      </c>
      <c r="AK71" s="71">
        <v>2</v>
      </c>
    </row>
    <row r="72" spans="1:37" ht="15.5">
      <c r="A72" s="49" t="s">
        <v>162</v>
      </c>
      <c r="B72" s="49">
        <v>516</v>
      </c>
      <c r="C72" s="49" t="s">
        <v>399</v>
      </c>
      <c r="D72" s="134">
        <f t="shared" si="4"/>
        <v>8.6</v>
      </c>
      <c r="E72" s="71">
        <v>2</v>
      </c>
      <c r="F72" s="71">
        <v>4</v>
      </c>
      <c r="G72" s="71"/>
      <c r="H72" s="71">
        <v>2</v>
      </c>
      <c r="I72" s="71">
        <v>3</v>
      </c>
      <c r="J72" s="71"/>
      <c r="K72" s="71"/>
      <c r="L72" s="71"/>
      <c r="M72" s="71"/>
      <c r="N72" s="71"/>
      <c r="O72" s="71">
        <v>9</v>
      </c>
      <c r="P72" s="71"/>
      <c r="Q72" s="71"/>
      <c r="R72" s="71"/>
      <c r="S72" s="71"/>
      <c r="T72" s="71"/>
      <c r="U72" s="49">
        <f t="shared" si="5"/>
        <v>3</v>
      </c>
      <c r="V72" s="71">
        <v>6</v>
      </c>
      <c r="W72" s="71">
        <v>4</v>
      </c>
      <c r="X72" s="71">
        <v>3</v>
      </c>
      <c r="Y72" s="71">
        <v>4</v>
      </c>
      <c r="Z72" s="71">
        <v>4</v>
      </c>
      <c r="AA72" s="71">
        <v>4</v>
      </c>
      <c r="AB72" s="71">
        <v>7</v>
      </c>
      <c r="AC72" s="71">
        <v>3</v>
      </c>
      <c r="AD72" s="71">
        <v>3</v>
      </c>
      <c r="AE72" s="71">
        <v>3</v>
      </c>
      <c r="AF72" s="71">
        <v>3</v>
      </c>
      <c r="AG72" s="71">
        <v>3</v>
      </c>
      <c r="AH72" s="71">
        <v>3</v>
      </c>
      <c r="AI72" s="71">
        <v>3</v>
      </c>
      <c r="AJ72" s="71">
        <v>3</v>
      </c>
      <c r="AK72" s="71">
        <v>3</v>
      </c>
    </row>
    <row r="73" spans="1:37" ht="15.5">
      <c r="A73" s="49" t="s">
        <v>126</v>
      </c>
      <c r="B73" s="49">
        <v>497</v>
      </c>
      <c r="C73" s="49" t="s">
        <v>399</v>
      </c>
      <c r="D73" s="134">
        <f t="shared" si="4"/>
        <v>8.2833333333333332</v>
      </c>
      <c r="E73" s="71">
        <v>2</v>
      </c>
      <c r="F73" s="71">
        <v>1</v>
      </c>
      <c r="G73" s="71"/>
      <c r="H73" s="71"/>
      <c r="I73" s="71"/>
      <c r="J73" s="71"/>
      <c r="K73" s="71"/>
      <c r="L73" s="71"/>
      <c r="M73" s="71"/>
      <c r="N73" s="71"/>
      <c r="O73" s="71"/>
      <c r="P73" s="71"/>
      <c r="Q73" s="71">
        <v>11</v>
      </c>
      <c r="R73" s="71">
        <v>12</v>
      </c>
      <c r="S73" s="71"/>
      <c r="T73" s="71"/>
      <c r="U73" s="49">
        <f t="shared" si="5"/>
        <v>2</v>
      </c>
      <c r="V73" s="71">
        <v>5</v>
      </c>
      <c r="W73" s="71">
        <v>4</v>
      </c>
      <c r="X73" s="71">
        <v>3</v>
      </c>
      <c r="Y73" s="71">
        <v>4</v>
      </c>
      <c r="Z73" s="71">
        <v>4</v>
      </c>
      <c r="AA73" s="71">
        <v>4</v>
      </c>
      <c r="AB73" s="71">
        <v>4</v>
      </c>
      <c r="AC73" s="71">
        <v>4</v>
      </c>
      <c r="AD73" s="71">
        <v>4</v>
      </c>
      <c r="AE73" s="71">
        <v>4</v>
      </c>
      <c r="AF73" s="71">
        <v>4</v>
      </c>
      <c r="AG73" s="71">
        <v>4</v>
      </c>
      <c r="AH73" s="71">
        <v>4</v>
      </c>
      <c r="AI73" s="71">
        <v>4</v>
      </c>
      <c r="AJ73" s="71">
        <v>4</v>
      </c>
      <c r="AK73" s="71">
        <v>4</v>
      </c>
    </row>
    <row r="74" spans="1:37" ht="15.5">
      <c r="A74" s="49" t="s">
        <v>86</v>
      </c>
      <c r="B74" s="49">
        <v>483</v>
      </c>
      <c r="C74" s="49" t="s">
        <v>399</v>
      </c>
      <c r="D74" s="134">
        <f t="shared" si="4"/>
        <v>8.0500000000000007</v>
      </c>
      <c r="E74" s="71">
        <v>1</v>
      </c>
      <c r="F74" s="71">
        <v>3</v>
      </c>
      <c r="G74" s="71"/>
      <c r="H74" s="71"/>
      <c r="I74" s="71"/>
      <c r="J74" s="71">
        <v>4</v>
      </c>
      <c r="K74" s="71"/>
      <c r="L74" s="71"/>
      <c r="M74" s="71"/>
      <c r="N74" s="71"/>
      <c r="O74" s="71">
        <v>9</v>
      </c>
      <c r="P74" s="71"/>
      <c r="Q74" s="71"/>
      <c r="R74" s="71">
        <v>12</v>
      </c>
      <c r="S74" s="71"/>
      <c r="T74" s="71"/>
      <c r="U74" s="49">
        <f t="shared" si="5"/>
        <v>3</v>
      </c>
      <c r="V74" s="71">
        <v>3</v>
      </c>
      <c r="W74" s="71">
        <v>3</v>
      </c>
      <c r="X74" s="71">
        <v>3</v>
      </c>
      <c r="Y74" s="71">
        <v>3</v>
      </c>
      <c r="Z74" s="71">
        <v>4</v>
      </c>
      <c r="AA74" s="71">
        <v>3</v>
      </c>
      <c r="AB74" s="71">
        <v>7</v>
      </c>
      <c r="AC74" s="71">
        <v>4</v>
      </c>
      <c r="AD74" s="71">
        <v>4</v>
      </c>
      <c r="AE74" s="71">
        <v>4</v>
      </c>
      <c r="AF74" s="71">
        <v>4</v>
      </c>
      <c r="AG74" s="71">
        <v>3</v>
      </c>
      <c r="AH74" s="71">
        <v>4</v>
      </c>
      <c r="AI74" s="71">
        <v>4</v>
      </c>
      <c r="AJ74" s="71">
        <v>3</v>
      </c>
      <c r="AK74" s="71">
        <v>4</v>
      </c>
    </row>
    <row r="75" spans="1:37" ht="15.5">
      <c r="A75" s="49" t="s">
        <v>111</v>
      </c>
      <c r="B75" s="49">
        <v>480</v>
      </c>
      <c r="C75" s="49" t="s">
        <v>399</v>
      </c>
      <c r="D75" s="134">
        <f t="shared" si="4"/>
        <v>8</v>
      </c>
      <c r="E75" s="71">
        <v>1</v>
      </c>
      <c r="F75" s="71">
        <v>6</v>
      </c>
      <c r="G75" s="71"/>
      <c r="H75" s="71">
        <v>2</v>
      </c>
      <c r="I75" s="71"/>
      <c r="J75" s="71">
        <v>4</v>
      </c>
      <c r="K75" s="71"/>
      <c r="L75" s="71">
        <v>6</v>
      </c>
      <c r="M75" s="71"/>
      <c r="N75" s="71">
        <v>8</v>
      </c>
      <c r="O75" s="71">
        <v>9</v>
      </c>
      <c r="P75" s="71">
        <v>10</v>
      </c>
      <c r="Q75" s="71">
        <v>11</v>
      </c>
      <c r="R75" s="71">
        <v>12</v>
      </c>
      <c r="S75" s="71">
        <v>13</v>
      </c>
      <c r="T75" s="71"/>
      <c r="U75" s="49">
        <f t="shared" si="5"/>
        <v>9</v>
      </c>
      <c r="V75" s="71">
        <v>3</v>
      </c>
      <c r="W75" s="71">
        <v>5</v>
      </c>
      <c r="X75" s="71">
        <v>4</v>
      </c>
      <c r="Y75" s="71">
        <v>5</v>
      </c>
      <c r="Z75" s="71">
        <v>2</v>
      </c>
      <c r="AA75" s="71">
        <v>3</v>
      </c>
      <c r="AB75" s="71">
        <v>7</v>
      </c>
      <c r="AC75" s="71">
        <v>4</v>
      </c>
      <c r="AD75" s="71">
        <v>4</v>
      </c>
      <c r="AE75" s="71">
        <v>5</v>
      </c>
      <c r="AF75" s="71">
        <v>4</v>
      </c>
      <c r="AG75" s="71">
        <v>4</v>
      </c>
      <c r="AH75" s="71">
        <v>5</v>
      </c>
      <c r="AI75" s="71">
        <v>3</v>
      </c>
      <c r="AJ75" s="71">
        <v>2</v>
      </c>
      <c r="AK75" s="71">
        <v>2</v>
      </c>
    </row>
    <row r="76" spans="1:37" ht="15.5">
      <c r="A76" s="49" t="s">
        <v>85</v>
      </c>
      <c r="B76" s="49">
        <v>464</v>
      </c>
      <c r="C76" s="49" t="s">
        <v>399</v>
      </c>
      <c r="D76" s="134">
        <f t="shared" si="4"/>
        <v>7.7333333333333334</v>
      </c>
      <c r="E76" s="71">
        <v>1</v>
      </c>
      <c r="F76" s="71">
        <v>2</v>
      </c>
      <c r="G76" s="71"/>
      <c r="H76" s="71"/>
      <c r="I76" s="71"/>
      <c r="J76" s="71">
        <v>4</v>
      </c>
      <c r="K76" s="71"/>
      <c r="L76" s="71"/>
      <c r="M76" s="71"/>
      <c r="N76" s="71"/>
      <c r="O76" s="71"/>
      <c r="P76" s="71"/>
      <c r="Q76" s="71"/>
      <c r="R76" s="71"/>
      <c r="S76" s="71">
        <v>13</v>
      </c>
      <c r="T76" s="71"/>
      <c r="U76" s="49">
        <f t="shared" si="5"/>
        <v>2</v>
      </c>
      <c r="V76" s="71">
        <v>1</v>
      </c>
      <c r="W76" s="71">
        <v>2</v>
      </c>
      <c r="X76" s="71">
        <v>2</v>
      </c>
      <c r="Y76" s="71">
        <v>4</v>
      </c>
      <c r="Z76" s="71">
        <v>4</v>
      </c>
      <c r="AA76" s="71">
        <v>5</v>
      </c>
      <c r="AB76" s="71">
        <v>6</v>
      </c>
      <c r="AC76" s="71">
        <v>2</v>
      </c>
      <c r="AD76" s="71">
        <v>4</v>
      </c>
      <c r="AE76" s="71">
        <v>2</v>
      </c>
      <c r="AF76" s="71">
        <v>2</v>
      </c>
      <c r="AG76" s="71">
        <v>3</v>
      </c>
      <c r="AH76" s="71">
        <v>2</v>
      </c>
      <c r="AI76" s="71">
        <v>2</v>
      </c>
      <c r="AJ76" s="71">
        <v>2</v>
      </c>
      <c r="AK76" s="71">
        <v>1</v>
      </c>
    </row>
    <row r="77" spans="1:37">
      <c r="A77" s="49" t="s">
        <v>81</v>
      </c>
      <c r="B77" s="49">
        <v>464</v>
      </c>
      <c r="C77" s="49" t="s">
        <v>399</v>
      </c>
      <c r="D77" s="134">
        <f t="shared" si="4"/>
        <v>7.7333333333333334</v>
      </c>
      <c r="E77">
        <v>1</v>
      </c>
      <c r="F77">
        <v>2</v>
      </c>
      <c r="G77"/>
      <c r="H77"/>
      <c r="I77"/>
      <c r="J77"/>
      <c r="K77"/>
      <c r="L77">
        <v>6</v>
      </c>
      <c r="M77">
        <v>7</v>
      </c>
      <c r="N77"/>
      <c r="O77"/>
      <c r="P77"/>
      <c r="Q77">
        <v>11</v>
      </c>
      <c r="R77"/>
      <c r="S77"/>
      <c r="T77"/>
      <c r="U77" s="49">
        <f t="shared" si="5"/>
        <v>3</v>
      </c>
      <c r="V77">
        <v>3</v>
      </c>
      <c r="W77">
        <v>4</v>
      </c>
      <c r="X77">
        <v>3</v>
      </c>
      <c r="Y77">
        <v>4</v>
      </c>
      <c r="Z77">
        <v>3</v>
      </c>
      <c r="AA77">
        <v>3</v>
      </c>
      <c r="AB77">
        <v>1</v>
      </c>
      <c r="AC77">
        <v>3</v>
      </c>
      <c r="AD77">
        <v>4</v>
      </c>
      <c r="AE77">
        <v>2</v>
      </c>
      <c r="AF77">
        <v>2</v>
      </c>
      <c r="AG77">
        <v>4</v>
      </c>
      <c r="AH77">
        <v>2</v>
      </c>
      <c r="AI77">
        <v>4</v>
      </c>
      <c r="AJ77">
        <v>3</v>
      </c>
      <c r="AK77">
        <v>2</v>
      </c>
    </row>
    <row r="78" spans="1:37" ht="15.5">
      <c r="A78" s="49" t="s">
        <v>135</v>
      </c>
      <c r="B78" s="49">
        <v>463</v>
      </c>
      <c r="C78" s="49" t="s">
        <v>399</v>
      </c>
      <c r="D78" s="134">
        <f t="shared" si="4"/>
        <v>7.7166666666666668</v>
      </c>
      <c r="E78" s="71">
        <v>1</v>
      </c>
      <c r="F78" s="71">
        <v>2</v>
      </c>
      <c r="G78" s="71"/>
      <c r="H78" s="71">
        <v>2</v>
      </c>
      <c r="I78" s="71"/>
      <c r="J78" s="71"/>
      <c r="K78" s="71"/>
      <c r="L78" s="71">
        <v>6</v>
      </c>
      <c r="M78" s="71">
        <v>7</v>
      </c>
      <c r="N78" s="71"/>
      <c r="O78" s="71"/>
      <c r="P78" s="71">
        <v>10</v>
      </c>
      <c r="Q78" s="71"/>
      <c r="R78" s="71">
        <v>12</v>
      </c>
      <c r="S78" s="71"/>
      <c r="T78" s="71"/>
      <c r="U78" s="49">
        <f t="shared" si="5"/>
        <v>5</v>
      </c>
      <c r="V78" s="71">
        <v>3</v>
      </c>
      <c r="W78" s="71">
        <v>3</v>
      </c>
      <c r="X78" s="71">
        <v>1</v>
      </c>
      <c r="Y78" s="71">
        <v>4</v>
      </c>
      <c r="Z78" s="71">
        <v>4</v>
      </c>
      <c r="AA78" s="71">
        <v>5</v>
      </c>
      <c r="AB78" s="71">
        <v>1</v>
      </c>
      <c r="AC78" s="71">
        <v>3</v>
      </c>
      <c r="AD78" s="71">
        <v>4</v>
      </c>
      <c r="AE78" s="71">
        <v>1</v>
      </c>
      <c r="AF78" s="71">
        <v>1</v>
      </c>
      <c r="AG78" s="71">
        <v>2</v>
      </c>
      <c r="AH78" s="71">
        <v>1</v>
      </c>
      <c r="AI78" s="71">
        <v>4</v>
      </c>
      <c r="AJ78" s="71">
        <v>2</v>
      </c>
      <c r="AK78" s="71">
        <v>2</v>
      </c>
    </row>
    <row r="79" spans="1:37" ht="15.5">
      <c r="A79" s="49" t="s">
        <v>94</v>
      </c>
      <c r="B79" s="49">
        <v>463</v>
      </c>
      <c r="C79" s="49" t="s">
        <v>399</v>
      </c>
      <c r="D79" s="134">
        <f t="shared" si="4"/>
        <v>7.7166666666666668</v>
      </c>
      <c r="E79" s="71">
        <v>2</v>
      </c>
      <c r="F79" s="71">
        <v>2</v>
      </c>
      <c r="G79" s="71">
        <v>1</v>
      </c>
      <c r="H79" s="71">
        <v>2</v>
      </c>
      <c r="I79" s="71">
        <v>3</v>
      </c>
      <c r="J79" s="71">
        <v>4</v>
      </c>
      <c r="K79" s="71">
        <v>5</v>
      </c>
      <c r="L79" s="71">
        <v>6</v>
      </c>
      <c r="M79" s="71">
        <v>7</v>
      </c>
      <c r="N79" s="71">
        <v>8</v>
      </c>
      <c r="O79" s="71">
        <v>9</v>
      </c>
      <c r="P79" s="71">
        <v>10</v>
      </c>
      <c r="Q79" s="71">
        <v>11</v>
      </c>
      <c r="R79" s="71">
        <v>12</v>
      </c>
      <c r="S79" s="71">
        <v>13</v>
      </c>
      <c r="T79" s="71"/>
      <c r="U79" s="49">
        <f t="shared" si="5"/>
        <v>13</v>
      </c>
      <c r="V79" s="71">
        <v>4</v>
      </c>
      <c r="W79" s="71">
        <v>5</v>
      </c>
      <c r="X79" s="71">
        <v>5</v>
      </c>
      <c r="Y79" s="71">
        <v>5</v>
      </c>
      <c r="Z79" s="71">
        <v>5</v>
      </c>
      <c r="AA79" s="71">
        <v>5</v>
      </c>
      <c r="AB79" s="71">
        <v>3</v>
      </c>
      <c r="AC79" s="71">
        <v>3</v>
      </c>
      <c r="AD79" s="71">
        <v>4</v>
      </c>
      <c r="AE79" s="71">
        <v>4</v>
      </c>
      <c r="AF79" s="71">
        <v>5</v>
      </c>
      <c r="AG79" s="71">
        <v>5</v>
      </c>
      <c r="AH79" s="71">
        <v>4</v>
      </c>
      <c r="AI79" s="71">
        <v>2</v>
      </c>
      <c r="AJ79" s="71">
        <v>2</v>
      </c>
      <c r="AK79" s="71">
        <v>1</v>
      </c>
    </row>
    <row r="80" spans="1:37" ht="15.5">
      <c r="A80" s="49" t="s">
        <v>170</v>
      </c>
      <c r="B80" s="49">
        <v>457</v>
      </c>
      <c r="C80" s="49" t="s">
        <v>399</v>
      </c>
      <c r="D80" s="134">
        <f t="shared" si="4"/>
        <v>7.6166666666666663</v>
      </c>
      <c r="E80" s="71">
        <v>2</v>
      </c>
      <c r="F80" s="71">
        <v>1</v>
      </c>
      <c r="G80" s="71"/>
      <c r="H80" s="71">
        <v>2</v>
      </c>
      <c r="I80" s="71">
        <v>3</v>
      </c>
      <c r="J80" s="71"/>
      <c r="K80" s="71">
        <v>5</v>
      </c>
      <c r="L80" s="71">
        <v>6</v>
      </c>
      <c r="M80" s="71"/>
      <c r="N80" s="71">
        <v>8</v>
      </c>
      <c r="O80" s="71">
        <v>9</v>
      </c>
      <c r="P80" s="71"/>
      <c r="Q80" s="71"/>
      <c r="R80" s="71"/>
      <c r="S80" s="71">
        <v>13</v>
      </c>
      <c r="T80" s="71"/>
      <c r="U80" s="49">
        <f t="shared" si="5"/>
        <v>7</v>
      </c>
      <c r="V80" s="71">
        <v>6</v>
      </c>
      <c r="W80" s="71">
        <v>4</v>
      </c>
      <c r="X80" s="71">
        <v>4</v>
      </c>
      <c r="Y80" s="71">
        <v>5</v>
      </c>
      <c r="Z80" s="71">
        <v>4</v>
      </c>
      <c r="AA80" s="71">
        <v>5</v>
      </c>
      <c r="AB80" s="71">
        <v>7</v>
      </c>
      <c r="AC80" s="71">
        <v>3</v>
      </c>
      <c r="AD80" s="71">
        <v>4</v>
      </c>
      <c r="AE80" s="71">
        <v>2</v>
      </c>
      <c r="AF80" s="71">
        <v>4</v>
      </c>
      <c r="AG80" s="71">
        <v>4</v>
      </c>
      <c r="AH80" s="71">
        <v>4</v>
      </c>
      <c r="AI80" s="71">
        <v>2</v>
      </c>
      <c r="AJ80" s="71">
        <v>2</v>
      </c>
      <c r="AK80" s="71">
        <v>3</v>
      </c>
    </row>
    <row r="81" spans="1:37" ht="15.5">
      <c r="A81" s="49" t="s">
        <v>173</v>
      </c>
      <c r="B81" s="49">
        <v>456</v>
      </c>
      <c r="C81" s="49" t="s">
        <v>399</v>
      </c>
      <c r="D81" s="134">
        <f t="shared" si="4"/>
        <v>7.6</v>
      </c>
      <c r="E81" s="71">
        <v>2</v>
      </c>
      <c r="F81" s="71">
        <v>5</v>
      </c>
      <c r="G81" s="71"/>
      <c r="H81" s="71">
        <v>2</v>
      </c>
      <c r="I81" s="71">
        <v>3</v>
      </c>
      <c r="J81" s="71">
        <v>4</v>
      </c>
      <c r="K81" s="71">
        <v>5</v>
      </c>
      <c r="L81" s="71">
        <v>6</v>
      </c>
      <c r="M81" s="71">
        <v>7</v>
      </c>
      <c r="N81" s="71">
        <v>8</v>
      </c>
      <c r="O81" s="71">
        <v>9</v>
      </c>
      <c r="P81" s="71">
        <v>10</v>
      </c>
      <c r="Q81" s="71">
        <v>11</v>
      </c>
      <c r="R81" s="71">
        <v>12</v>
      </c>
      <c r="S81" s="71"/>
      <c r="T81" s="71"/>
      <c r="U81" s="49">
        <f t="shared" si="5"/>
        <v>11</v>
      </c>
      <c r="V81" s="71">
        <v>3</v>
      </c>
      <c r="W81" s="71">
        <v>2</v>
      </c>
      <c r="X81" s="71">
        <v>2</v>
      </c>
      <c r="Y81" s="71">
        <v>3</v>
      </c>
      <c r="Z81" s="71">
        <v>3</v>
      </c>
      <c r="AA81" s="71">
        <v>4</v>
      </c>
      <c r="AB81" s="71">
        <v>3</v>
      </c>
      <c r="AC81" s="71">
        <v>4</v>
      </c>
      <c r="AD81" s="71">
        <v>4</v>
      </c>
      <c r="AE81" s="71">
        <v>4</v>
      </c>
      <c r="AF81" s="71">
        <v>4</v>
      </c>
      <c r="AG81" s="71">
        <v>4</v>
      </c>
      <c r="AH81" s="71">
        <v>4</v>
      </c>
      <c r="AI81" s="71">
        <v>2</v>
      </c>
      <c r="AJ81" s="71">
        <v>2</v>
      </c>
      <c r="AK81" s="71">
        <v>2</v>
      </c>
    </row>
    <row r="82" spans="1:37" ht="15.5">
      <c r="A82" s="49" t="s">
        <v>112</v>
      </c>
      <c r="B82" s="49">
        <v>449</v>
      </c>
      <c r="C82" s="49" t="s">
        <v>399</v>
      </c>
      <c r="D82" s="134">
        <f t="shared" si="4"/>
        <v>7.4833333333333334</v>
      </c>
      <c r="E82" s="71">
        <v>1</v>
      </c>
      <c r="F82" s="71">
        <v>2</v>
      </c>
      <c r="G82" s="71"/>
      <c r="H82" s="71">
        <v>2</v>
      </c>
      <c r="I82" s="71">
        <v>3</v>
      </c>
      <c r="J82" s="71">
        <v>4</v>
      </c>
      <c r="K82" s="71">
        <v>5</v>
      </c>
      <c r="L82" s="71">
        <v>6</v>
      </c>
      <c r="M82" s="71">
        <v>7</v>
      </c>
      <c r="N82" s="71">
        <v>8</v>
      </c>
      <c r="O82" s="71"/>
      <c r="P82" s="71">
        <v>10</v>
      </c>
      <c r="Q82" s="71">
        <v>11</v>
      </c>
      <c r="R82" s="71">
        <v>12</v>
      </c>
      <c r="S82" s="71"/>
      <c r="T82" s="71"/>
      <c r="U82" s="49">
        <f t="shared" si="5"/>
        <v>10</v>
      </c>
      <c r="V82" s="71">
        <v>3</v>
      </c>
      <c r="W82" s="71">
        <v>5</v>
      </c>
      <c r="X82" s="71">
        <v>5</v>
      </c>
      <c r="Y82" s="71">
        <v>4</v>
      </c>
      <c r="Z82" s="71">
        <v>5</v>
      </c>
      <c r="AA82" s="71">
        <v>5</v>
      </c>
      <c r="AB82" s="71">
        <v>4</v>
      </c>
      <c r="AC82" s="71">
        <v>4</v>
      </c>
      <c r="AD82" s="71">
        <v>5</v>
      </c>
      <c r="AE82" s="71">
        <v>5</v>
      </c>
      <c r="AF82" s="71">
        <v>5</v>
      </c>
      <c r="AG82" s="71">
        <v>5</v>
      </c>
      <c r="AH82" s="71">
        <v>5</v>
      </c>
      <c r="AI82" s="71">
        <v>5</v>
      </c>
      <c r="AJ82" s="71">
        <v>5</v>
      </c>
      <c r="AK82" s="71">
        <v>4</v>
      </c>
    </row>
    <row r="83" spans="1:37" ht="15.5">
      <c r="A83" s="49" t="s">
        <v>138</v>
      </c>
      <c r="B83" s="49">
        <v>448</v>
      </c>
      <c r="C83" s="49" t="s">
        <v>399</v>
      </c>
      <c r="D83" s="134">
        <f t="shared" si="4"/>
        <v>7.4666666666666668</v>
      </c>
      <c r="E83" s="71">
        <v>2</v>
      </c>
      <c r="F83" s="71">
        <v>2</v>
      </c>
      <c r="G83" s="71"/>
      <c r="H83" s="71">
        <v>2</v>
      </c>
      <c r="I83" s="71"/>
      <c r="J83" s="71">
        <v>4</v>
      </c>
      <c r="K83" s="71">
        <v>5</v>
      </c>
      <c r="L83" s="71">
        <v>6</v>
      </c>
      <c r="M83" s="71"/>
      <c r="N83" s="71"/>
      <c r="O83" s="71"/>
      <c r="P83" s="71">
        <v>10</v>
      </c>
      <c r="Q83" s="71">
        <v>11</v>
      </c>
      <c r="R83" s="71">
        <v>12</v>
      </c>
      <c r="S83" s="71"/>
      <c r="T83" s="71"/>
      <c r="U83" s="49">
        <f t="shared" si="5"/>
        <v>7</v>
      </c>
      <c r="V83" s="71">
        <v>5</v>
      </c>
      <c r="W83" s="71">
        <v>4</v>
      </c>
      <c r="X83" s="71">
        <v>4</v>
      </c>
      <c r="Y83" s="71">
        <v>5</v>
      </c>
      <c r="Z83" s="71">
        <v>4</v>
      </c>
      <c r="AA83" s="71">
        <v>5</v>
      </c>
      <c r="AB83" s="71">
        <v>3</v>
      </c>
      <c r="AC83" s="71">
        <v>3</v>
      </c>
      <c r="AD83" s="71">
        <v>4</v>
      </c>
      <c r="AE83" s="71">
        <v>4</v>
      </c>
      <c r="AF83" s="71">
        <v>5</v>
      </c>
      <c r="AG83" s="71">
        <v>4</v>
      </c>
      <c r="AH83" s="71">
        <v>4</v>
      </c>
      <c r="AI83" s="71">
        <v>4</v>
      </c>
      <c r="AJ83" s="71">
        <v>3</v>
      </c>
      <c r="AK83" s="71">
        <v>3</v>
      </c>
    </row>
    <row r="84" spans="1:37" ht="15.5">
      <c r="A84" s="49" t="s">
        <v>114</v>
      </c>
      <c r="B84" s="49">
        <v>447</v>
      </c>
      <c r="C84" s="49" t="s">
        <v>399</v>
      </c>
      <c r="D84" s="134">
        <f t="shared" si="4"/>
        <v>7.45</v>
      </c>
      <c r="E84" s="71">
        <v>2</v>
      </c>
      <c r="F84" s="71">
        <v>2</v>
      </c>
      <c r="G84" s="71"/>
      <c r="H84" s="71">
        <v>2</v>
      </c>
      <c r="I84" s="71">
        <v>3</v>
      </c>
      <c r="J84" s="71">
        <v>4</v>
      </c>
      <c r="K84" s="71">
        <v>5</v>
      </c>
      <c r="L84" s="71">
        <v>6</v>
      </c>
      <c r="M84" s="71">
        <v>7</v>
      </c>
      <c r="N84" s="71">
        <v>8</v>
      </c>
      <c r="O84" s="71"/>
      <c r="P84" s="71"/>
      <c r="Q84" s="71">
        <v>11</v>
      </c>
      <c r="R84" s="71">
        <v>12</v>
      </c>
      <c r="S84" s="71"/>
      <c r="T84" s="71"/>
      <c r="U84" s="49">
        <f t="shared" si="5"/>
        <v>9</v>
      </c>
      <c r="V84" s="71">
        <v>5</v>
      </c>
      <c r="W84" s="71">
        <v>3</v>
      </c>
      <c r="X84" s="71">
        <v>3</v>
      </c>
      <c r="Y84" s="71">
        <v>3</v>
      </c>
      <c r="Z84" s="71">
        <v>5</v>
      </c>
      <c r="AA84" s="71">
        <v>5</v>
      </c>
      <c r="AB84" s="71">
        <v>1</v>
      </c>
      <c r="AC84" s="71">
        <v>5</v>
      </c>
      <c r="AD84" s="71">
        <v>5</v>
      </c>
      <c r="AE84" s="71">
        <v>5</v>
      </c>
      <c r="AF84" s="71">
        <v>5</v>
      </c>
      <c r="AG84" s="71">
        <v>5</v>
      </c>
      <c r="AH84" s="71">
        <v>5</v>
      </c>
      <c r="AI84" s="71">
        <v>4</v>
      </c>
      <c r="AJ84" s="71">
        <v>4</v>
      </c>
      <c r="AK84" s="71">
        <v>4</v>
      </c>
    </row>
    <row r="85" spans="1:37" ht="15.5">
      <c r="A85" s="49" t="s">
        <v>95</v>
      </c>
      <c r="B85" s="49">
        <v>445</v>
      </c>
      <c r="C85" s="49" t="s">
        <v>399</v>
      </c>
      <c r="D85" s="134">
        <f t="shared" si="4"/>
        <v>7.416666666666667</v>
      </c>
      <c r="E85" s="71">
        <v>2</v>
      </c>
      <c r="F85" s="71">
        <v>5</v>
      </c>
      <c r="G85" s="71"/>
      <c r="H85" s="71">
        <v>2</v>
      </c>
      <c r="I85" s="71"/>
      <c r="J85" s="71">
        <v>4</v>
      </c>
      <c r="K85" s="71">
        <v>5</v>
      </c>
      <c r="L85" s="71">
        <v>6</v>
      </c>
      <c r="M85" s="71">
        <v>7</v>
      </c>
      <c r="N85" s="71">
        <v>8</v>
      </c>
      <c r="O85" s="71"/>
      <c r="P85" s="71">
        <v>10</v>
      </c>
      <c r="Q85" s="71">
        <v>11</v>
      </c>
      <c r="R85" s="71">
        <v>12</v>
      </c>
      <c r="S85" s="71"/>
      <c r="T85" s="71"/>
      <c r="U85" s="49">
        <f t="shared" si="5"/>
        <v>9</v>
      </c>
      <c r="V85" s="71">
        <v>3</v>
      </c>
      <c r="W85" s="71">
        <v>3</v>
      </c>
      <c r="X85" s="71">
        <v>3</v>
      </c>
      <c r="Y85" s="71">
        <v>3</v>
      </c>
      <c r="Z85" s="71">
        <v>3</v>
      </c>
      <c r="AA85" s="71">
        <v>4</v>
      </c>
      <c r="AB85" s="71">
        <v>7</v>
      </c>
      <c r="AC85" s="71">
        <v>3</v>
      </c>
      <c r="AD85" s="71">
        <v>4</v>
      </c>
      <c r="AE85" s="71">
        <v>3</v>
      </c>
      <c r="AF85" s="71">
        <v>4</v>
      </c>
      <c r="AG85" s="71">
        <v>4</v>
      </c>
      <c r="AH85" s="71">
        <v>4</v>
      </c>
      <c r="AI85" s="71">
        <v>3</v>
      </c>
      <c r="AJ85" s="71">
        <v>2</v>
      </c>
      <c r="AK85" s="71">
        <v>2</v>
      </c>
    </row>
    <row r="86" spans="1:37" ht="15.5">
      <c r="A86" s="49" t="s">
        <v>147</v>
      </c>
      <c r="B86" s="49">
        <v>442</v>
      </c>
      <c r="C86" s="49" t="s">
        <v>399</v>
      </c>
      <c r="D86" s="134">
        <f t="shared" si="4"/>
        <v>7.3666666666666663</v>
      </c>
      <c r="E86" s="71">
        <v>2</v>
      </c>
      <c r="F86" s="71">
        <v>1</v>
      </c>
      <c r="G86" s="71"/>
      <c r="H86" s="71"/>
      <c r="I86" s="71"/>
      <c r="J86" s="71"/>
      <c r="K86" s="71"/>
      <c r="L86" s="71">
        <v>6</v>
      </c>
      <c r="M86" s="71">
        <v>7</v>
      </c>
      <c r="N86" s="71"/>
      <c r="O86" s="71"/>
      <c r="P86" s="71"/>
      <c r="Q86" s="71">
        <v>11</v>
      </c>
      <c r="R86" s="71"/>
      <c r="S86" s="71"/>
      <c r="T86" s="71"/>
      <c r="U86" s="49">
        <f t="shared" si="5"/>
        <v>3</v>
      </c>
      <c r="V86" s="71">
        <v>6</v>
      </c>
      <c r="W86" s="71">
        <v>4</v>
      </c>
      <c r="X86" s="71">
        <v>4</v>
      </c>
      <c r="Y86" s="71">
        <v>3</v>
      </c>
      <c r="Z86" s="71">
        <v>3</v>
      </c>
      <c r="AA86" s="71">
        <v>3</v>
      </c>
      <c r="AB86" s="71">
        <v>1</v>
      </c>
      <c r="AC86" s="71">
        <v>4</v>
      </c>
      <c r="AD86" s="71">
        <v>4</v>
      </c>
      <c r="AE86" s="71">
        <v>4</v>
      </c>
      <c r="AF86" s="71">
        <v>3</v>
      </c>
      <c r="AG86" s="71">
        <v>4</v>
      </c>
      <c r="AH86" s="71">
        <v>4</v>
      </c>
      <c r="AI86" s="71">
        <v>2</v>
      </c>
      <c r="AJ86" s="71">
        <v>2</v>
      </c>
      <c r="AK86" s="71">
        <v>2</v>
      </c>
    </row>
    <row r="87" spans="1:37" ht="15.5">
      <c r="A87" s="49" t="s">
        <v>82</v>
      </c>
      <c r="B87" s="49">
        <v>441</v>
      </c>
      <c r="C87" s="49" t="s">
        <v>399</v>
      </c>
      <c r="D87" s="134">
        <f t="shared" si="4"/>
        <v>7.35</v>
      </c>
      <c r="E87" s="71">
        <v>1</v>
      </c>
      <c r="F87" s="71">
        <v>2</v>
      </c>
      <c r="G87" s="71"/>
      <c r="H87" s="71">
        <v>2</v>
      </c>
      <c r="I87" s="71">
        <v>3</v>
      </c>
      <c r="J87" s="71"/>
      <c r="K87" s="71"/>
      <c r="L87" s="71">
        <v>6</v>
      </c>
      <c r="M87" s="71"/>
      <c r="N87" s="71"/>
      <c r="O87" s="71"/>
      <c r="P87" s="71"/>
      <c r="Q87" s="71"/>
      <c r="R87" s="71"/>
      <c r="S87" s="71"/>
      <c r="T87" s="71"/>
      <c r="U87" s="49">
        <f t="shared" si="5"/>
        <v>3</v>
      </c>
      <c r="V87" s="71">
        <v>3</v>
      </c>
      <c r="W87" s="71">
        <v>2</v>
      </c>
      <c r="X87" s="71">
        <v>2</v>
      </c>
      <c r="Y87" s="71">
        <v>2</v>
      </c>
      <c r="Z87" s="71">
        <v>4</v>
      </c>
      <c r="AA87" s="71">
        <v>4</v>
      </c>
      <c r="AB87" s="71">
        <v>5</v>
      </c>
      <c r="AC87" s="71">
        <v>3</v>
      </c>
      <c r="AD87" s="71">
        <v>4</v>
      </c>
      <c r="AE87" s="71">
        <v>2</v>
      </c>
      <c r="AF87" s="71">
        <v>4</v>
      </c>
      <c r="AG87" s="71">
        <v>4</v>
      </c>
      <c r="AH87" s="71">
        <v>5</v>
      </c>
      <c r="AI87" s="71">
        <v>2</v>
      </c>
      <c r="AJ87" s="71">
        <v>3</v>
      </c>
      <c r="AK87" s="71">
        <v>2</v>
      </c>
    </row>
    <row r="88" spans="1:37">
      <c r="A88" s="49" t="s">
        <v>78</v>
      </c>
      <c r="B88" s="49">
        <v>441</v>
      </c>
      <c r="C88" s="49" t="s">
        <v>399</v>
      </c>
      <c r="D88" s="134">
        <f t="shared" si="4"/>
        <v>7.35</v>
      </c>
      <c r="E88">
        <v>1</v>
      </c>
      <c r="F88">
        <v>2</v>
      </c>
      <c r="G88"/>
      <c r="H88">
        <v>2</v>
      </c>
      <c r="I88"/>
      <c r="J88">
        <v>4</v>
      </c>
      <c r="K88">
        <v>5</v>
      </c>
      <c r="L88">
        <v>6</v>
      </c>
      <c r="M88">
        <v>7</v>
      </c>
      <c r="N88"/>
      <c r="O88"/>
      <c r="P88"/>
      <c r="Q88"/>
      <c r="R88"/>
      <c r="S88">
        <v>13</v>
      </c>
      <c r="T88"/>
      <c r="U88" s="49">
        <f t="shared" si="5"/>
        <v>6</v>
      </c>
      <c r="V88">
        <v>5</v>
      </c>
      <c r="W88">
        <v>3</v>
      </c>
      <c r="X88">
        <v>4</v>
      </c>
      <c r="Y88">
        <v>3</v>
      </c>
      <c r="Z88">
        <v>5</v>
      </c>
      <c r="AA88">
        <v>5</v>
      </c>
      <c r="AB88">
        <v>7</v>
      </c>
      <c r="AC88">
        <v>5</v>
      </c>
      <c r="AD88">
        <v>5</v>
      </c>
      <c r="AE88">
        <v>5</v>
      </c>
      <c r="AF88">
        <v>5</v>
      </c>
      <c r="AG88">
        <v>5</v>
      </c>
      <c r="AH88">
        <v>5</v>
      </c>
      <c r="AI88">
        <v>4</v>
      </c>
      <c r="AJ88">
        <v>4</v>
      </c>
      <c r="AK88">
        <v>3</v>
      </c>
    </row>
    <row r="89" spans="1:37" ht="15.5">
      <c r="A89" s="49" t="s">
        <v>120</v>
      </c>
      <c r="B89" s="49">
        <v>436</v>
      </c>
      <c r="C89" s="49" t="s">
        <v>399</v>
      </c>
      <c r="D89" s="134">
        <f t="shared" si="4"/>
        <v>7.2666666666666666</v>
      </c>
      <c r="E89" s="71">
        <v>2</v>
      </c>
      <c r="F89" s="71">
        <v>1</v>
      </c>
      <c r="G89" s="71"/>
      <c r="H89" s="71"/>
      <c r="I89" s="71"/>
      <c r="J89" s="71"/>
      <c r="K89" s="71"/>
      <c r="L89" s="71"/>
      <c r="M89" s="71"/>
      <c r="N89" s="71"/>
      <c r="O89" s="71"/>
      <c r="P89" s="71">
        <v>10</v>
      </c>
      <c r="Q89" s="71"/>
      <c r="R89" s="71"/>
      <c r="S89" s="71"/>
      <c r="T89" s="71"/>
      <c r="U89" s="49">
        <f t="shared" si="5"/>
        <v>1</v>
      </c>
      <c r="V89" s="71">
        <v>3</v>
      </c>
      <c r="W89" s="71">
        <v>3</v>
      </c>
      <c r="X89" s="71">
        <v>3</v>
      </c>
      <c r="Y89" s="71">
        <v>3</v>
      </c>
      <c r="Z89" s="71">
        <v>3</v>
      </c>
      <c r="AA89" s="71">
        <v>3</v>
      </c>
      <c r="AB89" s="71">
        <v>1</v>
      </c>
      <c r="AC89" s="71">
        <v>3</v>
      </c>
      <c r="AD89" s="71">
        <v>3</v>
      </c>
      <c r="AE89" s="71">
        <v>3</v>
      </c>
      <c r="AF89" s="71">
        <v>3</v>
      </c>
      <c r="AG89" s="71">
        <v>3</v>
      </c>
      <c r="AH89" s="71">
        <v>3</v>
      </c>
      <c r="AI89" s="71">
        <v>3</v>
      </c>
      <c r="AJ89" s="71">
        <v>3</v>
      </c>
      <c r="AK89" s="71">
        <v>3</v>
      </c>
    </row>
    <row r="90" spans="1:37" ht="15.5">
      <c r="A90" s="49" t="s">
        <v>98</v>
      </c>
      <c r="B90" s="49">
        <v>432</v>
      </c>
      <c r="C90" s="49" t="s">
        <v>399</v>
      </c>
      <c r="D90" s="134">
        <f t="shared" si="4"/>
        <v>7.2</v>
      </c>
      <c r="E90" s="71">
        <v>1</v>
      </c>
      <c r="F90" s="71">
        <v>2</v>
      </c>
      <c r="G90" s="71">
        <v>1</v>
      </c>
      <c r="H90" s="71"/>
      <c r="I90" s="71"/>
      <c r="J90" s="71">
        <v>4</v>
      </c>
      <c r="K90" s="71"/>
      <c r="L90" s="71"/>
      <c r="M90" s="71"/>
      <c r="N90" s="71"/>
      <c r="O90" s="71"/>
      <c r="P90" s="71">
        <v>10</v>
      </c>
      <c r="Q90" s="71"/>
      <c r="R90" s="71"/>
      <c r="S90" s="71"/>
      <c r="T90" s="71"/>
      <c r="U90" s="49">
        <f t="shared" si="5"/>
        <v>3</v>
      </c>
      <c r="V90" s="71">
        <v>5</v>
      </c>
      <c r="W90" s="71">
        <v>5</v>
      </c>
      <c r="X90" s="71">
        <v>4</v>
      </c>
      <c r="Y90" s="71">
        <v>5</v>
      </c>
      <c r="Z90" s="71">
        <v>4</v>
      </c>
      <c r="AA90" s="71">
        <v>5</v>
      </c>
      <c r="AB90" s="71">
        <v>3</v>
      </c>
      <c r="AC90" s="71">
        <v>4</v>
      </c>
      <c r="AD90" s="71">
        <v>5</v>
      </c>
      <c r="AE90" s="71">
        <v>5</v>
      </c>
      <c r="AF90" s="71">
        <v>5</v>
      </c>
      <c r="AG90" s="71">
        <v>4</v>
      </c>
      <c r="AH90" s="71">
        <v>5</v>
      </c>
      <c r="AI90" s="71">
        <v>5</v>
      </c>
      <c r="AJ90" s="71">
        <v>5</v>
      </c>
      <c r="AK90" s="71">
        <v>4</v>
      </c>
    </row>
    <row r="91" spans="1:37" ht="15.5">
      <c r="A91" s="49" t="s">
        <v>176</v>
      </c>
      <c r="B91" s="49">
        <v>429</v>
      </c>
      <c r="C91" s="49" t="s">
        <v>399</v>
      </c>
      <c r="D91" s="134">
        <f t="shared" si="4"/>
        <v>7.15</v>
      </c>
      <c r="E91" s="71">
        <v>2</v>
      </c>
      <c r="F91" s="71">
        <v>2</v>
      </c>
      <c r="G91" s="71"/>
      <c r="H91" s="71">
        <v>2</v>
      </c>
      <c r="I91" s="71"/>
      <c r="J91" s="71">
        <v>4</v>
      </c>
      <c r="K91" s="71"/>
      <c r="L91" s="71"/>
      <c r="M91" s="71">
        <v>7</v>
      </c>
      <c r="N91" s="71"/>
      <c r="O91" s="71"/>
      <c r="P91" s="71"/>
      <c r="Q91" s="71"/>
      <c r="R91" s="71"/>
      <c r="S91" s="71"/>
      <c r="T91" s="71"/>
      <c r="U91" s="49">
        <f t="shared" si="5"/>
        <v>3</v>
      </c>
      <c r="V91" s="71">
        <v>2</v>
      </c>
      <c r="W91" s="71">
        <v>3</v>
      </c>
      <c r="X91" s="71">
        <v>3</v>
      </c>
      <c r="Y91" s="71">
        <v>4</v>
      </c>
      <c r="Z91" s="71">
        <v>4</v>
      </c>
      <c r="AA91" s="71">
        <v>5</v>
      </c>
      <c r="AB91" s="71">
        <v>4</v>
      </c>
      <c r="AC91" s="71">
        <v>3</v>
      </c>
      <c r="AD91" s="71">
        <v>3</v>
      </c>
      <c r="AE91" s="71">
        <v>4</v>
      </c>
      <c r="AF91" s="71">
        <v>4</v>
      </c>
      <c r="AG91" s="71">
        <v>4</v>
      </c>
      <c r="AH91" s="71">
        <v>4</v>
      </c>
      <c r="AI91" s="71">
        <v>3</v>
      </c>
      <c r="AJ91" s="71">
        <v>3</v>
      </c>
      <c r="AK91" s="71">
        <v>3</v>
      </c>
    </row>
    <row r="92" spans="1:37" ht="15.5">
      <c r="A92" s="49" t="s">
        <v>108</v>
      </c>
      <c r="B92" s="49">
        <v>420</v>
      </c>
      <c r="C92" s="49" t="s">
        <v>399</v>
      </c>
      <c r="D92" s="134">
        <f t="shared" si="4"/>
        <v>7</v>
      </c>
      <c r="E92" s="71">
        <v>2</v>
      </c>
      <c r="F92" s="71">
        <v>2</v>
      </c>
      <c r="G92" s="71"/>
      <c r="H92" s="71">
        <v>2</v>
      </c>
      <c r="I92" s="71"/>
      <c r="J92" s="71"/>
      <c r="K92" s="71"/>
      <c r="L92" s="71"/>
      <c r="M92" s="71"/>
      <c r="N92" s="71"/>
      <c r="O92" s="71"/>
      <c r="P92" s="71"/>
      <c r="Q92" s="71"/>
      <c r="R92" s="71"/>
      <c r="S92" s="71"/>
      <c r="T92" s="71"/>
      <c r="U92" s="49">
        <f t="shared" si="5"/>
        <v>1</v>
      </c>
      <c r="V92" s="71">
        <v>6</v>
      </c>
      <c r="W92" s="71">
        <v>3</v>
      </c>
      <c r="X92" s="71">
        <v>3</v>
      </c>
      <c r="Y92" s="71">
        <v>4</v>
      </c>
      <c r="Z92" s="71">
        <v>4</v>
      </c>
      <c r="AA92" s="71">
        <v>4</v>
      </c>
      <c r="AB92" s="71">
        <v>5</v>
      </c>
      <c r="AC92" s="71">
        <v>2</v>
      </c>
      <c r="AD92" s="71">
        <v>4</v>
      </c>
      <c r="AE92" s="71">
        <v>4</v>
      </c>
      <c r="AF92" s="71">
        <v>4</v>
      </c>
      <c r="AG92" s="71">
        <v>4</v>
      </c>
      <c r="AH92" s="71">
        <v>4</v>
      </c>
      <c r="AI92" s="71">
        <v>2</v>
      </c>
      <c r="AJ92" s="71">
        <v>2</v>
      </c>
      <c r="AK92" s="71">
        <v>3</v>
      </c>
    </row>
    <row r="93" spans="1:37" ht="15.5">
      <c r="A93" s="49" t="s">
        <v>156</v>
      </c>
      <c r="B93" s="49">
        <v>409</v>
      </c>
      <c r="C93" s="49" t="s">
        <v>399</v>
      </c>
      <c r="D93" s="134">
        <f t="shared" si="4"/>
        <v>6.8166666666666664</v>
      </c>
      <c r="E93" s="71">
        <v>2</v>
      </c>
      <c r="F93" s="71">
        <v>1</v>
      </c>
      <c r="G93" s="71"/>
      <c r="H93" s="71"/>
      <c r="I93" s="71"/>
      <c r="J93" s="71"/>
      <c r="K93" s="71"/>
      <c r="L93" s="71">
        <v>6</v>
      </c>
      <c r="M93" s="71"/>
      <c r="N93" s="71"/>
      <c r="O93" s="71">
        <v>9</v>
      </c>
      <c r="P93" s="71"/>
      <c r="Q93" s="71"/>
      <c r="R93" s="71"/>
      <c r="S93" s="71"/>
      <c r="T93" s="71"/>
      <c r="U93" s="49">
        <f t="shared" si="5"/>
        <v>2</v>
      </c>
      <c r="V93" s="71">
        <v>2</v>
      </c>
      <c r="W93" s="71">
        <v>2</v>
      </c>
      <c r="X93" s="71">
        <v>2</v>
      </c>
      <c r="Y93" s="71">
        <v>2</v>
      </c>
      <c r="Z93" s="71">
        <v>2</v>
      </c>
      <c r="AA93" s="71">
        <v>2</v>
      </c>
      <c r="AB93" s="71">
        <v>1</v>
      </c>
      <c r="AC93" s="71">
        <v>2</v>
      </c>
      <c r="AD93" s="71">
        <v>2</v>
      </c>
      <c r="AE93" s="71">
        <v>2</v>
      </c>
      <c r="AF93" s="71">
        <v>2</v>
      </c>
      <c r="AG93" s="71">
        <v>2</v>
      </c>
      <c r="AH93" s="71">
        <v>2</v>
      </c>
      <c r="AI93" s="71">
        <v>2</v>
      </c>
      <c r="AJ93" s="71">
        <v>2</v>
      </c>
      <c r="AK93" s="71">
        <v>2</v>
      </c>
    </row>
    <row r="94" spans="1:37" ht="15.5">
      <c r="A94" s="49" t="s">
        <v>121</v>
      </c>
      <c r="B94" s="49">
        <v>405</v>
      </c>
      <c r="C94" s="49" t="s">
        <v>399</v>
      </c>
      <c r="D94" s="134">
        <f t="shared" si="4"/>
        <v>6.75</v>
      </c>
      <c r="E94" s="71">
        <v>2</v>
      </c>
      <c r="F94" s="71">
        <v>2</v>
      </c>
      <c r="G94" s="71"/>
      <c r="H94" s="71">
        <v>2</v>
      </c>
      <c r="I94" s="71"/>
      <c r="J94" s="71">
        <v>4</v>
      </c>
      <c r="K94" s="71"/>
      <c r="L94" s="71">
        <v>6</v>
      </c>
      <c r="M94" s="71"/>
      <c r="N94" s="71">
        <v>8</v>
      </c>
      <c r="O94" s="71">
        <v>9</v>
      </c>
      <c r="P94" s="71"/>
      <c r="Q94" s="71">
        <v>11</v>
      </c>
      <c r="R94" s="71">
        <v>12</v>
      </c>
      <c r="S94" s="71"/>
      <c r="T94" s="71"/>
      <c r="U94" s="49">
        <f t="shared" si="5"/>
        <v>7</v>
      </c>
      <c r="V94" s="71">
        <v>4</v>
      </c>
      <c r="W94" s="71">
        <v>1</v>
      </c>
      <c r="X94" s="71">
        <v>1</v>
      </c>
      <c r="Y94" s="71">
        <v>1</v>
      </c>
      <c r="Z94" s="71">
        <v>4</v>
      </c>
      <c r="AA94" s="71">
        <v>5</v>
      </c>
      <c r="AB94" s="71">
        <v>2</v>
      </c>
      <c r="AC94" s="71">
        <v>5</v>
      </c>
      <c r="AD94" s="71">
        <v>3</v>
      </c>
      <c r="AE94" s="71">
        <v>3</v>
      </c>
      <c r="AF94" s="71">
        <v>4</v>
      </c>
      <c r="AG94" s="71">
        <v>3</v>
      </c>
      <c r="AH94" s="71">
        <v>4</v>
      </c>
      <c r="AI94" s="71">
        <v>4</v>
      </c>
      <c r="AJ94" s="71">
        <v>4</v>
      </c>
      <c r="AK94" s="71">
        <v>3</v>
      </c>
    </row>
    <row r="95" spans="1:37" ht="15.5">
      <c r="A95" s="49" t="s">
        <v>166</v>
      </c>
      <c r="B95" s="49">
        <v>401</v>
      </c>
      <c r="C95" s="49" t="s">
        <v>399</v>
      </c>
      <c r="D95" s="134">
        <f t="shared" si="4"/>
        <v>6.6833333333333336</v>
      </c>
      <c r="E95" s="71">
        <v>1</v>
      </c>
      <c r="F95" s="71">
        <v>2</v>
      </c>
      <c r="G95" s="71"/>
      <c r="H95" s="71">
        <v>2</v>
      </c>
      <c r="I95" s="71"/>
      <c r="J95" s="71">
        <v>4</v>
      </c>
      <c r="K95" s="71"/>
      <c r="L95" s="71">
        <v>6</v>
      </c>
      <c r="M95" s="71">
        <v>7</v>
      </c>
      <c r="N95" s="71"/>
      <c r="O95" s="71">
        <v>9</v>
      </c>
      <c r="P95" s="71">
        <v>10</v>
      </c>
      <c r="Q95" s="71"/>
      <c r="R95" s="71">
        <v>12</v>
      </c>
      <c r="S95" s="71"/>
      <c r="T95" s="71"/>
      <c r="U95" s="49">
        <f t="shared" si="5"/>
        <v>7</v>
      </c>
      <c r="V95" s="71">
        <v>4</v>
      </c>
      <c r="W95" s="71">
        <v>3</v>
      </c>
      <c r="X95" s="71">
        <v>3</v>
      </c>
      <c r="Y95" s="71">
        <v>3</v>
      </c>
      <c r="Z95" s="71">
        <v>4</v>
      </c>
      <c r="AA95" s="71">
        <v>4</v>
      </c>
      <c r="AB95" s="71">
        <v>2</v>
      </c>
      <c r="AC95" s="71">
        <v>4</v>
      </c>
      <c r="AD95" s="71">
        <v>4</v>
      </c>
      <c r="AE95" s="71">
        <v>4</v>
      </c>
      <c r="AF95" s="71">
        <v>4</v>
      </c>
      <c r="AG95" s="71">
        <v>4</v>
      </c>
      <c r="AH95" s="71">
        <v>5</v>
      </c>
      <c r="AI95" s="71">
        <v>4</v>
      </c>
      <c r="AJ95" s="71">
        <v>4</v>
      </c>
      <c r="AK95" s="71">
        <v>4</v>
      </c>
    </row>
    <row r="96" spans="1:37" ht="15.5">
      <c r="A96" s="49" t="s">
        <v>163</v>
      </c>
      <c r="B96" s="49">
        <v>401</v>
      </c>
      <c r="C96" s="49" t="s">
        <v>399</v>
      </c>
      <c r="D96" s="134">
        <f t="shared" si="4"/>
        <v>6.6833333333333336</v>
      </c>
      <c r="E96" s="71">
        <v>2</v>
      </c>
      <c r="F96" s="71">
        <v>2</v>
      </c>
      <c r="G96" s="71"/>
      <c r="H96" s="71"/>
      <c r="I96" s="71"/>
      <c r="J96" s="71"/>
      <c r="K96" s="71"/>
      <c r="L96" s="71"/>
      <c r="M96" s="71"/>
      <c r="N96" s="71"/>
      <c r="O96" s="71"/>
      <c r="P96" s="71"/>
      <c r="Q96" s="71"/>
      <c r="R96" s="71"/>
      <c r="S96" s="71"/>
      <c r="T96" s="71">
        <v>14</v>
      </c>
      <c r="U96" s="49">
        <f t="shared" si="5"/>
        <v>0</v>
      </c>
      <c r="V96" s="71">
        <v>6</v>
      </c>
      <c r="W96" s="71">
        <v>3</v>
      </c>
      <c r="X96" s="71">
        <v>3</v>
      </c>
      <c r="Y96" s="71">
        <v>3</v>
      </c>
      <c r="Z96" s="71">
        <v>3</v>
      </c>
      <c r="AA96" s="71">
        <v>3</v>
      </c>
      <c r="AB96" s="71">
        <v>7</v>
      </c>
      <c r="AC96" s="71">
        <v>3</v>
      </c>
      <c r="AD96" s="71">
        <v>3</v>
      </c>
      <c r="AE96" s="71">
        <v>3</v>
      </c>
      <c r="AF96" s="71">
        <v>3</v>
      </c>
      <c r="AG96" s="71">
        <v>3</v>
      </c>
      <c r="AH96" s="71">
        <v>3</v>
      </c>
      <c r="AI96" s="71">
        <v>3</v>
      </c>
      <c r="AJ96" s="71">
        <v>3</v>
      </c>
      <c r="AK96" s="71">
        <v>3</v>
      </c>
    </row>
    <row r="97" spans="1:37" ht="15.5">
      <c r="A97" s="49" t="s">
        <v>143</v>
      </c>
      <c r="B97" s="49">
        <v>401</v>
      </c>
      <c r="C97" s="49" t="s">
        <v>399</v>
      </c>
      <c r="D97" s="134">
        <f t="shared" si="4"/>
        <v>6.6833333333333336</v>
      </c>
      <c r="E97" s="71">
        <v>2</v>
      </c>
      <c r="F97" s="71">
        <v>1</v>
      </c>
      <c r="G97" s="71"/>
      <c r="H97" s="71">
        <v>2</v>
      </c>
      <c r="I97" s="71">
        <v>3</v>
      </c>
      <c r="J97" s="71">
        <v>4</v>
      </c>
      <c r="K97" s="71">
        <v>5</v>
      </c>
      <c r="L97" s="71">
        <v>6</v>
      </c>
      <c r="M97" s="71">
        <v>7</v>
      </c>
      <c r="N97" s="71">
        <v>8</v>
      </c>
      <c r="O97" s="71"/>
      <c r="P97" s="71">
        <v>10</v>
      </c>
      <c r="Q97" s="71"/>
      <c r="R97" s="71">
        <v>12</v>
      </c>
      <c r="S97" s="71">
        <v>13</v>
      </c>
      <c r="T97" s="71"/>
      <c r="U97" s="49">
        <f t="shared" si="5"/>
        <v>10</v>
      </c>
      <c r="V97" s="71">
        <v>5</v>
      </c>
      <c r="W97" s="71">
        <v>4</v>
      </c>
      <c r="X97" s="71">
        <v>4</v>
      </c>
      <c r="Y97" s="71">
        <v>4</v>
      </c>
      <c r="Z97" s="71">
        <v>5</v>
      </c>
      <c r="AA97" s="71">
        <v>5</v>
      </c>
      <c r="AB97" s="71">
        <v>4</v>
      </c>
      <c r="AC97" s="71">
        <v>4</v>
      </c>
      <c r="AD97" s="71">
        <v>5</v>
      </c>
      <c r="AE97" s="71">
        <v>5</v>
      </c>
      <c r="AF97" s="71">
        <v>5</v>
      </c>
      <c r="AG97" s="71">
        <v>5</v>
      </c>
      <c r="AH97" s="71">
        <v>5</v>
      </c>
      <c r="AI97" s="71">
        <v>4</v>
      </c>
      <c r="AJ97" s="71">
        <v>4</v>
      </c>
      <c r="AK97" s="71">
        <v>4</v>
      </c>
    </row>
    <row r="98" spans="1:37" ht="15.5">
      <c r="A98" s="49" t="s">
        <v>122</v>
      </c>
      <c r="B98" s="49">
        <v>401</v>
      </c>
      <c r="C98" s="49" t="s">
        <v>399</v>
      </c>
      <c r="D98" s="134">
        <f t="shared" si="4"/>
        <v>6.6833333333333336</v>
      </c>
      <c r="E98" s="71">
        <v>2</v>
      </c>
      <c r="F98" s="71">
        <v>3</v>
      </c>
      <c r="G98" s="71"/>
      <c r="H98" s="71">
        <v>2</v>
      </c>
      <c r="I98" s="71"/>
      <c r="J98" s="71">
        <v>4</v>
      </c>
      <c r="K98" s="71"/>
      <c r="L98" s="71">
        <v>6</v>
      </c>
      <c r="M98" s="71"/>
      <c r="N98" s="71"/>
      <c r="O98" s="71"/>
      <c r="P98" s="71"/>
      <c r="Q98" s="71"/>
      <c r="R98" s="71"/>
      <c r="S98" s="71"/>
      <c r="T98" s="71"/>
      <c r="U98" s="49">
        <f t="shared" si="5"/>
        <v>3</v>
      </c>
      <c r="V98" s="71">
        <v>4</v>
      </c>
      <c r="W98" s="71">
        <v>4</v>
      </c>
      <c r="X98" s="71">
        <v>4</v>
      </c>
      <c r="Y98" s="71">
        <v>3</v>
      </c>
      <c r="Z98" s="71">
        <v>4</v>
      </c>
      <c r="AA98" s="71">
        <v>4</v>
      </c>
      <c r="AB98" s="71">
        <v>5</v>
      </c>
      <c r="AC98" s="71">
        <v>4</v>
      </c>
      <c r="AD98" s="71">
        <v>4</v>
      </c>
      <c r="AE98" s="71">
        <v>4</v>
      </c>
      <c r="AF98" s="71">
        <v>3</v>
      </c>
      <c r="AG98" s="71">
        <v>4</v>
      </c>
      <c r="AH98" s="71">
        <v>4</v>
      </c>
      <c r="AI98" s="71">
        <v>4</v>
      </c>
      <c r="AJ98" s="71">
        <v>4</v>
      </c>
      <c r="AK98" s="71">
        <v>3</v>
      </c>
    </row>
    <row r="99" spans="1:37" ht="15.5">
      <c r="A99" s="49" t="s">
        <v>169</v>
      </c>
      <c r="B99" s="49">
        <v>378</v>
      </c>
      <c r="C99" s="49" t="s">
        <v>399</v>
      </c>
      <c r="D99" s="134">
        <f t="shared" si="4"/>
        <v>6.3</v>
      </c>
      <c r="E99" s="71">
        <v>2</v>
      </c>
      <c r="F99" s="71">
        <v>6</v>
      </c>
      <c r="G99" s="71"/>
      <c r="H99" s="71"/>
      <c r="I99" s="71"/>
      <c r="J99" s="71">
        <v>4</v>
      </c>
      <c r="K99" s="71">
        <v>5</v>
      </c>
      <c r="L99" s="71"/>
      <c r="M99" s="71"/>
      <c r="N99" s="71"/>
      <c r="O99" s="71"/>
      <c r="P99" s="71">
        <v>10</v>
      </c>
      <c r="Q99" s="71"/>
      <c r="R99" s="71">
        <v>12</v>
      </c>
      <c r="S99" s="71"/>
      <c r="T99" s="71"/>
      <c r="U99" s="49">
        <f t="shared" si="5"/>
        <v>4</v>
      </c>
      <c r="V99" s="71">
        <v>5</v>
      </c>
      <c r="W99" s="71">
        <v>3</v>
      </c>
      <c r="X99" s="71">
        <v>3</v>
      </c>
      <c r="Y99" s="71">
        <v>3</v>
      </c>
      <c r="Z99" s="71">
        <v>4</v>
      </c>
      <c r="AA99" s="71">
        <v>5</v>
      </c>
      <c r="AB99" s="71">
        <v>1</v>
      </c>
      <c r="AC99" s="71">
        <v>4</v>
      </c>
      <c r="AD99" s="71">
        <v>4</v>
      </c>
      <c r="AE99" s="71">
        <v>5</v>
      </c>
      <c r="AF99" s="71">
        <v>4</v>
      </c>
      <c r="AG99" s="71">
        <v>5</v>
      </c>
      <c r="AH99" s="71">
        <v>5</v>
      </c>
      <c r="AI99" s="71">
        <v>4</v>
      </c>
      <c r="AJ99" s="71">
        <v>5</v>
      </c>
      <c r="AK99" s="71">
        <v>5</v>
      </c>
    </row>
    <row r="100" spans="1:37" ht="15.5">
      <c r="A100" s="49" t="s">
        <v>118</v>
      </c>
      <c r="B100" s="49">
        <v>378</v>
      </c>
      <c r="C100" s="49" t="s">
        <v>399</v>
      </c>
      <c r="D100" s="134">
        <f t="shared" si="4"/>
        <v>6.3</v>
      </c>
      <c r="E100" s="71">
        <v>2</v>
      </c>
      <c r="F100" s="71">
        <v>2</v>
      </c>
      <c r="G100" s="71"/>
      <c r="H100" s="71">
        <v>2</v>
      </c>
      <c r="I100" s="71"/>
      <c r="J100" s="71"/>
      <c r="K100" s="71"/>
      <c r="L100" s="71">
        <v>6</v>
      </c>
      <c r="M100" s="71"/>
      <c r="N100" s="71"/>
      <c r="O100" s="71"/>
      <c r="P100" s="71"/>
      <c r="Q100" s="71">
        <v>11</v>
      </c>
      <c r="R100" s="71"/>
      <c r="S100" s="71"/>
      <c r="T100" s="71"/>
      <c r="U100" s="49">
        <f t="shared" si="5"/>
        <v>3</v>
      </c>
      <c r="V100" s="71">
        <v>5</v>
      </c>
      <c r="W100" s="71">
        <v>5</v>
      </c>
      <c r="X100" s="71">
        <v>5</v>
      </c>
      <c r="Y100" s="71">
        <v>5</v>
      </c>
      <c r="Z100" s="71">
        <v>5</v>
      </c>
      <c r="AA100" s="71">
        <v>5</v>
      </c>
      <c r="AB100" s="71">
        <v>4</v>
      </c>
      <c r="AC100" s="71">
        <v>5</v>
      </c>
      <c r="AD100" s="71">
        <v>5</v>
      </c>
      <c r="AE100" s="71">
        <v>5</v>
      </c>
      <c r="AF100" s="71">
        <v>5</v>
      </c>
      <c r="AG100" s="71">
        <v>5</v>
      </c>
      <c r="AH100" s="71">
        <v>5</v>
      </c>
      <c r="AI100" s="71">
        <v>4</v>
      </c>
      <c r="AJ100" s="71">
        <v>3</v>
      </c>
      <c r="AK100" s="71">
        <v>4</v>
      </c>
    </row>
    <row r="101" spans="1:37" ht="15.5">
      <c r="A101" s="49" t="s">
        <v>159</v>
      </c>
      <c r="B101" s="49">
        <v>372</v>
      </c>
      <c r="C101" s="49" t="s">
        <v>399</v>
      </c>
      <c r="D101" s="134">
        <f t="shared" ref="D101:D108" si="6">B101/60</f>
        <v>6.2</v>
      </c>
      <c r="E101" s="71">
        <v>2</v>
      </c>
      <c r="F101" s="71">
        <v>2</v>
      </c>
      <c r="G101" s="71"/>
      <c r="H101" s="71"/>
      <c r="I101" s="71"/>
      <c r="J101" s="71">
        <v>4</v>
      </c>
      <c r="K101" s="71"/>
      <c r="L101" s="71"/>
      <c r="M101" s="71"/>
      <c r="N101" s="71"/>
      <c r="O101" s="71"/>
      <c r="P101" s="71"/>
      <c r="Q101" s="71"/>
      <c r="R101" s="71"/>
      <c r="S101" s="71"/>
      <c r="T101" s="71"/>
      <c r="U101" s="49">
        <f t="shared" ref="U101:U108" si="7">COUNT(G101:S101)</f>
        <v>1</v>
      </c>
      <c r="V101" s="71">
        <v>3</v>
      </c>
      <c r="W101" s="71">
        <v>2</v>
      </c>
      <c r="X101" s="71">
        <v>3</v>
      </c>
      <c r="Y101" s="71">
        <v>3</v>
      </c>
      <c r="Z101" s="71">
        <v>2</v>
      </c>
      <c r="AA101" s="71">
        <v>5</v>
      </c>
      <c r="AB101" s="71">
        <v>2</v>
      </c>
      <c r="AC101" s="71">
        <v>3</v>
      </c>
      <c r="AD101" s="71">
        <v>4</v>
      </c>
      <c r="AE101" s="71">
        <v>3</v>
      </c>
      <c r="AF101" s="71">
        <v>2</v>
      </c>
      <c r="AG101" s="71">
        <v>4</v>
      </c>
      <c r="AH101" s="71">
        <v>4</v>
      </c>
      <c r="AI101" s="71">
        <v>3</v>
      </c>
      <c r="AJ101" s="71">
        <v>1</v>
      </c>
      <c r="AK101" s="71">
        <v>3</v>
      </c>
    </row>
    <row r="102" spans="1:37" ht="15.5">
      <c r="A102" s="49" t="s">
        <v>96</v>
      </c>
      <c r="B102" s="49">
        <v>366</v>
      </c>
      <c r="C102" s="49" t="s">
        <v>399</v>
      </c>
      <c r="D102" s="134">
        <f t="shared" si="6"/>
        <v>6.1</v>
      </c>
      <c r="E102" s="71">
        <v>1</v>
      </c>
      <c r="F102" s="71">
        <v>2</v>
      </c>
      <c r="G102" s="71"/>
      <c r="H102" s="71"/>
      <c r="I102" s="71"/>
      <c r="J102" s="71"/>
      <c r="K102" s="71"/>
      <c r="L102" s="71"/>
      <c r="M102" s="71"/>
      <c r="N102" s="71"/>
      <c r="O102" s="71"/>
      <c r="P102" s="71"/>
      <c r="Q102" s="71"/>
      <c r="R102" s="71"/>
      <c r="S102" s="71">
        <v>13</v>
      </c>
      <c r="T102" s="71"/>
      <c r="U102" s="49">
        <f t="shared" si="7"/>
        <v>1</v>
      </c>
      <c r="V102" s="71">
        <v>3</v>
      </c>
      <c r="W102" s="71">
        <v>5</v>
      </c>
      <c r="X102" s="71">
        <v>4</v>
      </c>
      <c r="Y102" s="71">
        <v>4</v>
      </c>
      <c r="Z102" s="71">
        <v>4</v>
      </c>
      <c r="AA102" s="71">
        <v>4</v>
      </c>
      <c r="AB102" s="71">
        <v>1</v>
      </c>
      <c r="AC102" s="71">
        <v>4</v>
      </c>
      <c r="AD102" s="71">
        <v>4</v>
      </c>
      <c r="AE102" s="71">
        <v>3</v>
      </c>
      <c r="AF102" s="71">
        <v>4</v>
      </c>
      <c r="AG102" s="71">
        <v>3</v>
      </c>
      <c r="AH102" s="71">
        <v>4</v>
      </c>
      <c r="AI102" s="71">
        <v>4</v>
      </c>
      <c r="AJ102" s="71">
        <v>4</v>
      </c>
      <c r="AK102" s="71">
        <v>4</v>
      </c>
    </row>
    <row r="103" spans="1:37" ht="15.5">
      <c r="A103" s="49" t="s">
        <v>107</v>
      </c>
      <c r="B103" s="49">
        <v>326</v>
      </c>
      <c r="C103" s="49" t="s">
        <v>399</v>
      </c>
      <c r="D103" s="134">
        <f t="shared" si="6"/>
        <v>5.4333333333333336</v>
      </c>
      <c r="E103" s="71">
        <v>2</v>
      </c>
      <c r="F103" s="71">
        <v>1</v>
      </c>
      <c r="G103" s="71"/>
      <c r="H103" s="71">
        <v>2</v>
      </c>
      <c r="I103" s="71"/>
      <c r="J103" s="71">
        <v>4</v>
      </c>
      <c r="K103" s="71">
        <v>5</v>
      </c>
      <c r="L103" s="71">
        <v>6</v>
      </c>
      <c r="M103" s="71">
        <v>7</v>
      </c>
      <c r="N103" s="71">
        <v>8</v>
      </c>
      <c r="O103" s="71">
        <v>9</v>
      </c>
      <c r="P103" s="71">
        <v>10</v>
      </c>
      <c r="Q103" s="71">
        <v>11</v>
      </c>
      <c r="R103" s="71"/>
      <c r="S103" s="71"/>
      <c r="T103" s="71"/>
      <c r="U103" s="49">
        <f t="shared" si="7"/>
        <v>9</v>
      </c>
      <c r="V103" s="71">
        <v>5</v>
      </c>
      <c r="W103" s="71">
        <v>4</v>
      </c>
      <c r="X103" s="71">
        <v>4</v>
      </c>
      <c r="Y103" s="71">
        <v>4</v>
      </c>
      <c r="Z103" s="71">
        <v>5</v>
      </c>
      <c r="AA103" s="71">
        <v>3</v>
      </c>
      <c r="AB103" s="71">
        <v>1</v>
      </c>
      <c r="AC103" s="71">
        <v>4</v>
      </c>
      <c r="AD103" s="71">
        <v>4</v>
      </c>
      <c r="AE103" s="71">
        <v>3</v>
      </c>
      <c r="AF103" s="71">
        <v>4</v>
      </c>
      <c r="AG103" s="71">
        <v>4</v>
      </c>
      <c r="AH103" s="71">
        <v>4</v>
      </c>
      <c r="AI103" s="71">
        <v>4</v>
      </c>
      <c r="AJ103" s="71">
        <v>4</v>
      </c>
      <c r="AK103" s="71">
        <v>4</v>
      </c>
    </row>
    <row r="104" spans="1:37" ht="15.5">
      <c r="A104" s="49" t="s">
        <v>124</v>
      </c>
      <c r="B104" s="49">
        <v>299</v>
      </c>
      <c r="C104" s="49" t="s">
        <v>399</v>
      </c>
      <c r="D104" s="134">
        <f t="shared" si="6"/>
        <v>4.9833333333333334</v>
      </c>
      <c r="E104" s="71">
        <v>2</v>
      </c>
      <c r="F104" s="71">
        <v>2</v>
      </c>
      <c r="G104" s="71">
        <v>1</v>
      </c>
      <c r="H104" s="71">
        <v>2</v>
      </c>
      <c r="I104" s="71"/>
      <c r="J104" s="71">
        <v>4</v>
      </c>
      <c r="K104" s="71"/>
      <c r="L104" s="71">
        <v>6</v>
      </c>
      <c r="M104" s="71"/>
      <c r="N104" s="71">
        <v>8</v>
      </c>
      <c r="O104" s="71">
        <v>9</v>
      </c>
      <c r="P104" s="71"/>
      <c r="Q104" s="71"/>
      <c r="R104" s="71"/>
      <c r="S104" s="71"/>
      <c r="T104" s="71"/>
      <c r="U104" s="49">
        <f t="shared" si="7"/>
        <v>6</v>
      </c>
      <c r="V104" s="71">
        <v>4</v>
      </c>
      <c r="W104" s="71">
        <v>4</v>
      </c>
      <c r="X104" s="71">
        <v>4</v>
      </c>
      <c r="Y104" s="71">
        <v>5</v>
      </c>
      <c r="Z104" s="71">
        <v>4</v>
      </c>
      <c r="AA104" s="71">
        <v>4</v>
      </c>
      <c r="AB104" s="71">
        <v>3</v>
      </c>
      <c r="AC104" s="71">
        <v>4</v>
      </c>
      <c r="AD104" s="71">
        <v>5</v>
      </c>
      <c r="AE104" s="71">
        <v>4</v>
      </c>
      <c r="AF104" s="71">
        <v>4</v>
      </c>
      <c r="AG104" s="71">
        <v>4</v>
      </c>
      <c r="AH104" s="71">
        <v>5</v>
      </c>
      <c r="AI104" s="71">
        <v>5</v>
      </c>
      <c r="AJ104" s="71">
        <v>4</v>
      </c>
      <c r="AK104" s="71">
        <v>4</v>
      </c>
    </row>
    <row r="105" spans="1:37" ht="15.5">
      <c r="A105" s="49" t="s">
        <v>87</v>
      </c>
      <c r="B105" s="49">
        <v>291</v>
      </c>
      <c r="C105" s="49" t="s">
        <v>399</v>
      </c>
      <c r="D105" s="134">
        <f t="shared" si="6"/>
        <v>4.8499999999999996</v>
      </c>
      <c r="E105" s="71">
        <v>1</v>
      </c>
      <c r="F105" s="71">
        <v>2</v>
      </c>
      <c r="G105" s="71">
        <v>1</v>
      </c>
      <c r="H105" s="71"/>
      <c r="I105" s="71"/>
      <c r="J105" s="71"/>
      <c r="K105" s="71"/>
      <c r="L105" s="71"/>
      <c r="M105" s="71"/>
      <c r="N105" s="71"/>
      <c r="O105" s="71"/>
      <c r="P105" s="71"/>
      <c r="Q105" s="71"/>
      <c r="R105" s="71"/>
      <c r="S105" s="71"/>
      <c r="T105" s="71"/>
      <c r="U105" s="49">
        <f t="shared" si="7"/>
        <v>1</v>
      </c>
      <c r="V105" s="71">
        <v>5</v>
      </c>
      <c r="W105" s="71">
        <v>4</v>
      </c>
      <c r="X105" s="71">
        <v>4</v>
      </c>
      <c r="Y105" s="71">
        <v>5</v>
      </c>
      <c r="Z105" s="71">
        <v>5</v>
      </c>
      <c r="AA105" s="71">
        <v>4</v>
      </c>
      <c r="AB105" s="71">
        <v>4</v>
      </c>
      <c r="AC105" s="71">
        <v>5</v>
      </c>
      <c r="AD105" s="71">
        <v>4</v>
      </c>
      <c r="AE105" s="71">
        <v>5</v>
      </c>
      <c r="AF105" s="71">
        <v>5</v>
      </c>
      <c r="AG105" s="71">
        <v>3</v>
      </c>
      <c r="AH105" s="71">
        <v>5</v>
      </c>
      <c r="AI105" s="71">
        <v>5</v>
      </c>
      <c r="AJ105" s="71">
        <v>4</v>
      </c>
      <c r="AK105" s="71">
        <v>3</v>
      </c>
    </row>
    <row r="106" spans="1:37" ht="15.5">
      <c r="A106" s="49" t="s">
        <v>181</v>
      </c>
      <c r="B106" s="49">
        <v>271</v>
      </c>
      <c r="C106" s="49" t="s">
        <v>399</v>
      </c>
      <c r="D106" s="134">
        <f t="shared" si="6"/>
        <v>4.5166666666666666</v>
      </c>
      <c r="E106" s="71">
        <v>2</v>
      </c>
      <c r="F106" s="71">
        <v>4</v>
      </c>
      <c r="G106" s="71"/>
      <c r="H106" s="71">
        <v>2</v>
      </c>
      <c r="I106" s="71"/>
      <c r="J106" s="71"/>
      <c r="K106" s="71"/>
      <c r="L106" s="71">
        <v>6</v>
      </c>
      <c r="M106" s="71"/>
      <c r="N106" s="71"/>
      <c r="O106" s="71"/>
      <c r="P106" s="71"/>
      <c r="Q106" s="71"/>
      <c r="R106" s="71">
        <v>12</v>
      </c>
      <c r="S106" s="71"/>
      <c r="T106" s="71"/>
      <c r="U106" s="49">
        <f t="shared" si="7"/>
        <v>3</v>
      </c>
      <c r="V106" s="71">
        <v>3</v>
      </c>
      <c r="W106" s="71">
        <v>3</v>
      </c>
      <c r="X106" s="71">
        <v>3</v>
      </c>
      <c r="Y106" s="71">
        <v>3</v>
      </c>
      <c r="Z106" s="71">
        <v>4</v>
      </c>
      <c r="AA106" s="71">
        <v>4</v>
      </c>
      <c r="AB106" s="71">
        <v>7</v>
      </c>
      <c r="AC106" s="71">
        <v>3</v>
      </c>
      <c r="AD106" s="71">
        <v>4</v>
      </c>
      <c r="AE106" s="71">
        <v>3</v>
      </c>
      <c r="AF106" s="71">
        <v>4</v>
      </c>
      <c r="AG106" s="71">
        <v>4</v>
      </c>
      <c r="AH106" s="71">
        <v>4</v>
      </c>
      <c r="AI106" s="71">
        <v>3</v>
      </c>
      <c r="AJ106" s="71">
        <v>3</v>
      </c>
      <c r="AK106" s="71">
        <v>2</v>
      </c>
    </row>
    <row r="107" spans="1:37" ht="15.5">
      <c r="A107" s="49" t="s">
        <v>127</v>
      </c>
      <c r="B107" s="49">
        <v>268</v>
      </c>
      <c r="C107" s="49" t="s">
        <v>399</v>
      </c>
      <c r="D107" s="134">
        <f t="shared" si="6"/>
        <v>4.4666666666666668</v>
      </c>
      <c r="E107" s="71">
        <v>2</v>
      </c>
      <c r="F107" s="71">
        <v>2</v>
      </c>
      <c r="G107" s="71"/>
      <c r="H107" s="71">
        <v>2</v>
      </c>
      <c r="I107" s="71"/>
      <c r="J107" s="71"/>
      <c r="K107" s="71"/>
      <c r="L107" s="71"/>
      <c r="M107" s="71"/>
      <c r="N107" s="71"/>
      <c r="O107" s="71"/>
      <c r="P107" s="71"/>
      <c r="Q107" s="71"/>
      <c r="R107" s="71"/>
      <c r="S107" s="71"/>
      <c r="T107" s="71"/>
      <c r="U107" s="49">
        <f t="shared" si="7"/>
        <v>1</v>
      </c>
      <c r="V107" s="71">
        <v>5</v>
      </c>
      <c r="W107" s="71">
        <v>5</v>
      </c>
      <c r="X107" s="71">
        <v>5</v>
      </c>
      <c r="Y107" s="71">
        <v>5</v>
      </c>
      <c r="Z107" s="71">
        <v>5</v>
      </c>
      <c r="AA107" s="71">
        <v>5</v>
      </c>
      <c r="AB107" s="71">
        <v>5</v>
      </c>
      <c r="AC107" s="71">
        <v>5</v>
      </c>
      <c r="AD107" s="71">
        <v>5</v>
      </c>
      <c r="AE107" s="71">
        <v>5</v>
      </c>
      <c r="AF107" s="71">
        <v>5</v>
      </c>
      <c r="AG107" s="71">
        <v>5</v>
      </c>
      <c r="AH107" s="71">
        <v>5</v>
      </c>
      <c r="AI107" s="71">
        <v>5</v>
      </c>
      <c r="AJ107" s="71">
        <v>5</v>
      </c>
      <c r="AK107" s="71">
        <v>5</v>
      </c>
    </row>
    <row r="108" spans="1:37" ht="15.5">
      <c r="A108" s="49" t="s">
        <v>101</v>
      </c>
      <c r="B108" s="49">
        <v>237</v>
      </c>
      <c r="C108" s="49" t="s">
        <v>399</v>
      </c>
      <c r="D108" s="134">
        <f t="shared" si="6"/>
        <v>3.95</v>
      </c>
      <c r="E108" s="71">
        <v>1</v>
      </c>
      <c r="F108" s="71">
        <v>3</v>
      </c>
      <c r="G108" s="71">
        <v>1</v>
      </c>
      <c r="H108" s="71"/>
      <c r="I108" s="71"/>
      <c r="J108" s="71">
        <v>4</v>
      </c>
      <c r="K108" s="71"/>
      <c r="L108" s="71">
        <v>6</v>
      </c>
      <c r="M108" s="71"/>
      <c r="N108" s="71"/>
      <c r="O108" s="71">
        <v>9</v>
      </c>
      <c r="P108" s="71"/>
      <c r="Q108" s="71"/>
      <c r="R108" s="71"/>
      <c r="S108" s="71"/>
      <c r="T108" s="71"/>
      <c r="U108" s="49">
        <f t="shared" si="7"/>
        <v>4</v>
      </c>
      <c r="V108" s="71">
        <v>4</v>
      </c>
      <c r="W108" s="71">
        <v>3</v>
      </c>
      <c r="X108" s="71">
        <v>3</v>
      </c>
      <c r="Y108" s="71">
        <v>3</v>
      </c>
      <c r="Z108" s="71">
        <v>4</v>
      </c>
      <c r="AA108" s="71">
        <v>5</v>
      </c>
      <c r="AB108" s="71">
        <v>2</v>
      </c>
      <c r="AC108" s="71">
        <v>2</v>
      </c>
      <c r="AD108" s="71">
        <v>3</v>
      </c>
      <c r="AE108" s="71">
        <v>2</v>
      </c>
      <c r="AF108" s="71">
        <v>1</v>
      </c>
      <c r="AG108" s="71">
        <v>3</v>
      </c>
      <c r="AH108" s="71">
        <v>1</v>
      </c>
      <c r="AI108" s="71">
        <v>4</v>
      </c>
      <c r="AJ108" s="71">
        <v>4</v>
      </c>
      <c r="AK108" s="71">
        <v>4</v>
      </c>
    </row>
    <row r="110" spans="1:37">
      <c r="A110" s="70" t="s">
        <v>77</v>
      </c>
      <c r="B110" s="55"/>
      <c r="C110" s="55"/>
      <c r="D110" s="55"/>
      <c r="E110" s="50">
        <f>COUNTIF(E$5:E$108,1)</f>
        <v>28</v>
      </c>
      <c r="F110" s="51"/>
      <c r="AG110" s="52" t="s">
        <v>281</v>
      </c>
      <c r="AH110" s="49">
        <v>1</v>
      </c>
      <c r="AI110" s="66">
        <f>COUNTIF(AI5:AI108,1)</f>
        <v>5</v>
      </c>
      <c r="AJ110" s="66"/>
      <c r="AK110" s="66"/>
    </row>
    <row r="111" spans="1:37">
      <c r="A111" s="67" t="s">
        <v>76</v>
      </c>
      <c r="B111" s="52"/>
      <c r="C111" s="52"/>
      <c r="D111" s="52"/>
      <c r="E111" s="49">
        <f>COUNTIF(E$5:E$108,2)</f>
        <v>76</v>
      </c>
      <c r="F111" s="51"/>
      <c r="AH111" s="49">
        <v>2</v>
      </c>
      <c r="AI111" s="66"/>
      <c r="AJ111" s="66"/>
      <c r="AK111" s="66"/>
    </row>
    <row r="112" spans="1:37">
      <c r="A112" s="67" t="s">
        <v>75</v>
      </c>
      <c r="B112" s="52"/>
      <c r="C112" s="52"/>
      <c r="D112" s="52"/>
      <c r="E112" s="49">
        <f>COUNTIF(E$5:E$108,3)</f>
        <v>0</v>
      </c>
      <c r="F112" s="51"/>
      <c r="AH112" s="49">
        <v>3</v>
      </c>
      <c r="AI112" s="66"/>
      <c r="AJ112" s="66"/>
      <c r="AK112" s="66"/>
    </row>
    <row r="113" spans="1:37">
      <c r="A113" s="50"/>
      <c r="B113" s="50"/>
      <c r="C113" s="50"/>
      <c r="D113" s="50"/>
      <c r="E113" s="50"/>
      <c r="AH113" s="49">
        <v>4</v>
      </c>
      <c r="AI113" s="66"/>
      <c r="AJ113" s="66"/>
      <c r="AK113" s="66"/>
    </row>
    <row r="114" spans="1:37">
      <c r="A114" s="49" t="s">
        <v>267</v>
      </c>
      <c r="H114" s="54">
        <f>COUNTIF(H5:H108,2)</f>
        <v>74</v>
      </c>
      <c r="I114" s="50">
        <f>COUNTIF(I5:I108,3)</f>
        <v>41</v>
      </c>
      <c r="J114" s="69">
        <f>COUNTIF(J5:J108,4)</f>
        <v>54</v>
      </c>
      <c r="AG114" s="52" t="s">
        <v>282</v>
      </c>
      <c r="AH114" s="49">
        <v>5</v>
      </c>
      <c r="AI114" s="66"/>
      <c r="AJ114" s="66"/>
      <c r="AK114" s="66"/>
    </row>
    <row r="115" spans="1:37" ht="15.5">
      <c r="A115" s="49" t="s">
        <v>268</v>
      </c>
      <c r="H115" s="53">
        <f>104 - 74</f>
        <v>30</v>
      </c>
      <c r="I115" s="150">
        <f>104 - 41</f>
        <v>63</v>
      </c>
      <c r="J115" s="68">
        <f>104 - 54</f>
        <v>50</v>
      </c>
    </row>
    <row r="117" spans="1:37">
      <c r="A117" s="49" t="s">
        <v>365</v>
      </c>
      <c r="C117" s="137">
        <f>MIN(D5:D108)</f>
        <v>3.95</v>
      </c>
      <c r="D117" s="138" t="str">
        <f>_xlfn.XLOOKUP(C117,D5:D108,A5:A108)</f>
        <v>P81</v>
      </c>
      <c r="E117" s="52"/>
    </row>
  </sheetData>
  <sortState xmlns:xlrd2="http://schemas.microsoft.com/office/spreadsheetml/2017/richdata2" ref="A5:AK108">
    <sortCondition descending="1" ref="D5:D108"/>
  </sortState>
  <mergeCells count="2">
    <mergeCell ref="E1:F1"/>
    <mergeCell ref="G4:U4"/>
  </mergeCells>
  <phoneticPr fontId="45" type="noConversion"/>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Lab1</vt:lpstr>
      <vt:lpstr>Lab2</vt:lpstr>
      <vt:lpstr>SustainabilityData-10%sample</vt:lpstr>
    </vt:vector>
  </TitlesOfParts>
  <Company>Warehouse Stationery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Cheryl Durose</dc:creator>
  <cp:lastModifiedBy>Savnit Prasad</cp:lastModifiedBy>
  <dcterms:created xsi:type="dcterms:W3CDTF">2015-06-12T05:22:43Z</dcterms:created>
  <dcterms:modified xsi:type="dcterms:W3CDTF">2026-08-02T07:02:14Z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2022-07-14T01:27:33Z</vt:lpwstr>
  </property>
  <property fmtid="{D5CDD505-2E9C-101B-9397-08002B2CF9AE}" pid="4" name="MSIP_Label_bd9e4d68-54d0-40a5-8c9a-85a36c87352c_Method">
    <vt:lpwstr>Privileged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93fc997d-a292-4605-8525-9882d57f6f8f</vt:lpwstr>
  </property>
  <property fmtid="{D5CDD505-2E9C-101B-9397-08002B2CF9AE}" pid="8" name="MSIP_Label_bd9e4d68-54d0-40a5-8c9a-85a36c87352c_ContentBits">
    <vt:lpwstr>0</vt:lpwstr>
  </property>
</Properties>
</file>